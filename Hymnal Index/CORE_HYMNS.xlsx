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ethkasten\Hymnal Project\"/>
    </mc:Choice>
  </mc:AlternateContent>
  <xr:revisionPtr revIDLastSave="0" documentId="13_ncr:1_{10E37112-8490-45F6-9646-0A1172239B5A}" xr6:coauthVersionLast="47" xr6:coauthVersionMax="47" xr10:uidLastSave="{00000000-0000-0000-0000-000000000000}"/>
  <bookViews>
    <workbookView xWindow="-110" yWindow="-110" windowWidth="38620" windowHeight="21100" activeTab="1" xr2:uid="{00000000-000D-0000-FFFF-FFFF00000000}"/>
  </bookViews>
  <sheets>
    <sheet name="Master" sheetId="9" r:id="rId1"/>
    <sheet name="Master Notes" sheetId="4" r:id="rId2"/>
    <sheet name="Occasional Hymns Original" sheetId="1" r:id="rId3"/>
    <sheet name="Occasional Hymns Refined" sheetId="2" r:id="rId4"/>
    <sheet name="Notes" sheetId="3" r:id="rId5"/>
    <sheet name="Chief Hymns" sheetId="5" r:id="rId6"/>
    <sheet name="Chief Hymns Notes" sheetId="6" r:id="rId7"/>
    <sheet name="Latin hymns" sheetId="7" r:id="rId8"/>
    <sheet name="Popular Hymns" sheetId="8" r:id="rId9"/>
  </sheets>
  <definedNames>
    <definedName name="_xlnm._FilterDatabase" localSheetId="5" hidden="1">'Chief Hymns'!$A$1:$Z$48</definedName>
    <definedName name="_xlnm._FilterDatabase" localSheetId="2" hidden="1">'Occasional Hymns Original'!$A$1:$U$117</definedName>
    <definedName name="_xlnm._FilterDatabase" localSheetId="3" hidden="1">'Occasional Hymns Refined'!$A$1:$V$71</definedName>
    <definedName name="_xlnm._FilterDatabase" localSheetId="8" hidden="1">'Popular Hymns'!$A$1:$AC$46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9" l="1"/>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2" i="9"/>
</calcChain>
</file>

<file path=xl/sharedStrings.xml><?xml version="1.0" encoding="utf-8"?>
<sst xmlns="http://schemas.openxmlformats.org/spreadsheetml/2006/main" count="1773" uniqueCount="986">
  <si>
    <t>Place</t>
  </si>
  <si>
    <t>Hymn</t>
  </si>
  <si>
    <t>Common English title (column A)</t>
  </si>
  <si>
    <t>Note</t>
  </si>
  <si>
    <t>KELG#</t>
  </si>
  <si>
    <t>LPC#</t>
  </si>
  <si>
    <t>ELHB#</t>
  </si>
  <si>
    <t>TLH#</t>
  </si>
  <si>
    <t>WS'69#</t>
  </si>
  <si>
    <t>LW#</t>
  </si>
  <si>
    <t>HS'98#</t>
  </si>
  <si>
    <t>LSB#</t>
  </si>
  <si>
    <t>TLHy#</t>
  </si>
  <si>
    <t>ELH#</t>
  </si>
  <si>
    <t>CW'93#</t>
  </si>
  <si>
    <t>CWS#</t>
  </si>
  <si>
    <t>CW'21#</t>
  </si>
  <si>
    <t>WS'00#</t>
  </si>
  <si>
    <t>TL#</t>
  </si>
  <si>
    <t>LBW#</t>
  </si>
  <si>
    <t>WOV#</t>
  </si>
  <si>
    <t>LH</t>
  </si>
  <si>
    <t>Troped and paraphrased ordinaries</t>
  </si>
  <si>
    <t>Kyrie</t>
  </si>
  <si>
    <t>Kyrie! God, Father in Heaven Above / Lord God, our Father, Thou our chiefest stay.</t>
  </si>
  <si>
    <t>Gloria</t>
  </si>
  <si>
    <t>"Allein Gott in der Höh sei Ehr"</t>
  </si>
  <si>
    <t>All Glory Be to God on High</t>
  </si>
  <si>
    <t>"All Ehr und Lob soll Gottes sein"</t>
  </si>
  <si>
    <t>All Glory Be to God Alone</t>
  </si>
  <si>
    <t>Creed</t>
  </si>
  <si>
    <t>"Wir glauben all an einen Gott"</t>
  </si>
  <si>
    <t>We All Believe in One True God Maker</t>
  </si>
  <si>
    <t>Sanctus</t>
  </si>
  <si>
    <t>"Jesaia dem Propheten das geschah"</t>
  </si>
  <si>
    <t>Isaiah, Mighty Seer in Days of Old</t>
  </si>
  <si>
    <t>Lord's Prayer</t>
  </si>
  <si>
    <t>"Vater unser im Himmelreich"</t>
  </si>
  <si>
    <t>Our Father, Who From Heaven Above</t>
  </si>
  <si>
    <t>430, 431</t>
  </si>
  <si>
    <t>Agnus Dei</t>
  </si>
  <si>
    <t>"O Lamm Gottes unschuldig"</t>
  </si>
  <si>
    <t>Lamb of God, Pure and Holy</t>
  </si>
  <si>
    <t>86, 87</t>
  </si>
  <si>
    <t>Hymns during the service</t>
  </si>
  <si>
    <t>Opening</t>
  </si>
  <si>
    <t>"Komm, Heiliger Geist, Herre Gott"</t>
  </si>
  <si>
    <t>Come, Holy Ghost, God and Lord</t>
  </si>
  <si>
    <t>Veni Sancte Spiritus (the sequence), with "Nun bitten wir"</t>
  </si>
  <si>
    <t>Come Holy Ghost in Love</t>
  </si>
  <si>
    <t>Veni Creator Spiritus</t>
  </si>
  <si>
    <t>Come, Holy Ghost, Creator Blest</t>
  </si>
  <si>
    <t>157, 158</t>
  </si>
  <si>
    <t>498, 499</t>
  </si>
  <si>
    <t>10</t>
  </si>
  <si>
    <t>177, 178</t>
  </si>
  <si>
    <t>472, 473</t>
  </si>
  <si>
    <t>In place of the introit</t>
  </si>
  <si>
    <t>"Es woll uns Gott genädig sein" (Ps 67)</t>
  </si>
  <si>
    <t>May God Bestow on Us His Grace</t>
  </si>
  <si>
    <t>823-824</t>
  </si>
  <si>
    <t>"Erbarm dich mein, o Herre Gott" (Ps 51)</t>
  </si>
  <si>
    <t>(Carver: Have mercy on me, Lord my God)</t>
  </si>
  <si>
    <t>"Aus tiefer Not schrei ich zu dir" (Ps 130)</t>
  </si>
  <si>
    <t>From Depths of Woe I Cry to Thee</t>
  </si>
  <si>
    <t>"Ach Gott, vom Himmel sieh darein" (Ps 12)</t>
  </si>
  <si>
    <t>O Lord Look Down from Heaven Behold</t>
  </si>
  <si>
    <t>"Wär Gott nicht mit uns diese Zeit" (Ps 124)</t>
  </si>
  <si>
    <t>If God Had Not Been on Our Side</t>
  </si>
  <si>
    <t>Chief hymn</t>
  </si>
  <si>
    <t>from the table (to be decided)</t>
  </si>
  <si>
    <t>—</t>
  </si>
  <si>
    <t>Before the sermon</t>
  </si>
  <si>
    <t>"Nun bitten wir den Heiligen Geist"</t>
  </si>
  <si>
    <t>To God the Holy Spirit Let Us Pray</t>
  </si>
  <si>
    <t>After the sermon</t>
  </si>
  <si>
    <t>"Erhalt uns, Herr, bei deinem Wort"</t>
  </si>
  <si>
    <t>Lord, Keep Us Steadfast in Your Word</t>
  </si>
  <si>
    <t>"Es woll uns Gott genädig sein"</t>
  </si>
  <si>
    <t>"Gott der Vater wohn uns bei"</t>
  </si>
  <si>
    <t>Triune God, Be Thou Our Stay</t>
  </si>
  <si>
    <t>Distribution</t>
  </si>
  <si>
    <t>"Jesus Christus, unser Heiland, der von uns den Gotteszorn wandt"</t>
  </si>
  <si>
    <t>Jesus Christ, Our Blessed Savior</t>
  </si>
  <si>
    <t>236, 237</t>
  </si>
  <si>
    <t>316, 317</t>
  </si>
  <si>
    <t>"Gott sei gelobet und gebenedeiet"</t>
  </si>
  <si>
    <t>O Lord, We Praise Thee</t>
  </si>
  <si>
    <t>Psalm 111 (Becker: Ich will von Herzen danken Gott dem Herren)</t>
  </si>
  <si>
    <t>(Carver: I Will Give Thanks to God, and Service Render)</t>
  </si>
  <si>
    <r>
      <rPr>
        <i/>
        <sz val="10"/>
        <rFont val="Arial"/>
        <family val="2"/>
      </rPr>
      <t>Te Deum laudamus</t>
    </r>
  </si>
  <si>
    <t>Te Deum laudamus</t>
  </si>
  <si>
    <t>p. 223</t>
  </si>
  <si>
    <t>Closing</t>
  </si>
  <si>
    <t>Grant Peace, We Pray, in Mercy, Lord</t>
  </si>
  <si>
    <t>777-778</t>
  </si>
  <si>
    <t>Salvation Unto Us Has Come</t>
  </si>
  <si>
    <t>(Carver: Thanks let us render; Schönzeler: All thanks be to God)</t>
  </si>
  <si>
    <r>
      <rPr>
        <i/>
        <sz val="10"/>
        <rFont val="Arial"/>
        <family val="2"/>
      </rPr>
      <t>Nunc dimittis</t>
    </r>
  </si>
  <si>
    <t>Lord, Now You Let Your Servant</t>
  </si>
  <si>
    <t>p. 29</t>
  </si>
  <si>
    <t>p. 81,124</t>
  </si>
  <si>
    <t>p. 24,61</t>
  </si>
  <si>
    <t>p. 26</t>
  </si>
  <si>
    <t>After Mass</t>
  </si>
  <si>
    <r>
      <rPr>
        <i/>
        <sz val="10"/>
        <rFont val="Arial"/>
        <family val="2"/>
      </rPr>
      <t>Benedicite, omnia opera</t>
    </r>
  </si>
  <si>
    <t>All You Works of God, Bless the Lord</t>
  </si>
  <si>
    <t>Psalm 150: Lobt Gott in seinem Heiligtum</t>
  </si>
  <si>
    <t>Praise God from whom All Blessings Flow (Carver: Praise God within His Holy Place; Reuning: Sing Alleluia, Praise the Lord)</t>
  </si>
  <si>
    <t>529, 564, 565</t>
  </si>
  <si>
    <t>Festal</t>
  </si>
  <si>
    <t>Advent</t>
  </si>
  <si>
    <t>"Nun komm, der Heiden Heiland"</t>
  </si>
  <si>
    <t>Savior of the Nations, Come</t>
  </si>
  <si>
    <t>151, 152</t>
  </si>
  <si>
    <t>Christmas</t>
  </si>
  <si>
    <t>Danksagen wir alle Gott (Grates nunc omnes)</t>
  </si>
  <si>
    <t>"Gelobet seist du, Jesu Christ"</t>
  </si>
  <si>
    <t>We Praise You, Jesus, at Your Birth</t>
  </si>
  <si>
    <r>
      <rPr>
        <i/>
        <sz val="10"/>
        <rFont val="Arial"/>
        <family val="2"/>
      </rPr>
      <t>Puer natus in Bethlehem</t>
    </r>
  </si>
  <si>
    <t>A Boy Is Born in Bethlehem</t>
  </si>
  <si>
    <t>348, 371</t>
  </si>
  <si>
    <t>96, 97</t>
  </si>
  <si>
    <r>
      <rPr>
        <i/>
        <sz val="10"/>
        <rFont val="Arial"/>
        <family val="2"/>
      </rPr>
      <t>In dulci jubilo</t>
    </r>
  </si>
  <si>
    <t>Now Sing We, Now Rejoice</t>
  </si>
  <si>
    <t>Resonet in laudibus</t>
  </si>
  <si>
    <r>
      <rPr>
        <sz val="10"/>
        <rFont val="Arial"/>
        <family val="2"/>
      </rPr>
      <t xml:space="preserve">— (literally </t>
    </r>
    <r>
      <rPr>
        <i/>
        <sz val="10"/>
        <rFont val="Arial"/>
        <family val="2"/>
      </rPr>
      <t>Let it resound with praises</t>
    </r>
    <r>
      <rPr>
        <sz val="10"/>
        <rFont val="Arial"/>
        <family val="2"/>
      </rPr>
      <t>)</t>
    </r>
  </si>
  <si>
    <t>6, 8</t>
  </si>
  <si>
    <t>718a-c</t>
  </si>
  <si>
    <r>
      <rPr>
        <i/>
        <sz val="10"/>
        <rFont val="Arial"/>
        <family val="2"/>
      </rPr>
      <t>Nunc angelorum gloria</t>
    </r>
  </si>
  <si>
    <t>He Whom Shepherds Once Came Praising / He Whose Praise the Shepherds Sounded</t>
  </si>
  <si>
    <t>113, 114</t>
  </si>
  <si>
    <t>Dies est laetitiae: "Der Tag, der ist so freudenreich"</t>
  </si>
  <si>
    <t>Now Hail the Day So Rich in Cheer</t>
  </si>
  <si>
    <t>"Joseph, lieber Joseph mein"</t>
  </si>
  <si>
    <t>(Talbot: Joseph dearest, Joseph mine)</t>
  </si>
  <si>
    <t>Lent</t>
  </si>
  <si>
    <t>Christe, qui lux es et dies / "Christe, der du bist Tag und Licht"</t>
  </si>
  <si>
    <t>O Christ, Who Art the Light and Day / Christ, everlasting Source of light</t>
  </si>
  <si>
    <t>319a, 319b</t>
  </si>
  <si>
    <t>Easter</t>
  </si>
  <si>
    <r>
      <rPr>
        <i/>
        <sz val="10"/>
        <rFont val="Arial"/>
        <family val="2"/>
      </rPr>
      <t>Victimae paschali laudes</t>
    </r>
  </si>
  <si>
    <t>Christians, to the Paschal Victim</t>
  </si>
  <si>
    <t>741a</t>
  </si>
  <si>
    <t>"Christ lag in Todesbanden"</t>
  </si>
  <si>
    <t>Christ Jesus lay in Death's Strong Bands</t>
  </si>
  <si>
    <t>439-440</t>
  </si>
  <si>
    <t>"Christ ist erstanden"</t>
  </si>
  <si>
    <t>Christ is Arisen</t>
  </si>
  <si>
    <t>741b</t>
  </si>
  <si>
    <t>"Also heilig ist der Tag"</t>
  </si>
  <si>
    <t>This is such a holy day</t>
  </si>
  <si>
    <r>
      <rPr>
        <i/>
        <sz val="10"/>
        <rFont val="Arial"/>
        <family val="2"/>
      </rPr>
      <t>Surrexit Christus hodie</t>
    </r>
  </si>
  <si>
    <t>Jesus Christ is Risen Today</t>
  </si>
  <si>
    <t>Ascension</t>
  </si>
  <si>
    <t>"Christ fuhr gen Himmel"</t>
  </si>
  <si>
    <t>Christ rose to heaven</t>
  </si>
  <si>
    <t>Pentecost</t>
  </si>
  <si>
    <r>
      <rPr>
        <i/>
        <sz val="10"/>
        <rFont val="Arial"/>
        <family val="2"/>
      </rPr>
      <t>Veni Sancte Spiritus</t>
    </r>
    <r>
      <rPr>
        <sz val="10"/>
        <rFont val="Arial"/>
        <family val="2"/>
      </rPr>
      <t xml:space="preserve"> (the sequence), with "Nun bitten wir"</t>
    </r>
  </si>
  <si>
    <r>
      <rPr>
        <i/>
        <sz val="10"/>
        <rFont val="Arial"/>
        <family val="2"/>
      </rPr>
      <t>Spiritus Sancti gratia</t>
    </r>
  </si>
  <si>
    <r>
      <rPr>
        <sz val="10"/>
        <rFont val="Arial"/>
        <family val="2"/>
      </rPr>
      <t xml:space="preserve">— (literally </t>
    </r>
    <r>
      <rPr>
        <i/>
        <sz val="10"/>
        <rFont val="Arial"/>
        <family val="2"/>
      </rPr>
      <t>The grace of the Holy Spirit</t>
    </r>
    <r>
      <rPr>
        <sz val="10"/>
        <rFont val="Arial"/>
        <family val="2"/>
      </rPr>
      <t>)</t>
    </r>
  </si>
  <si>
    <r>
      <rPr>
        <i/>
        <sz val="10"/>
        <rFont val="Arial"/>
        <family val="2"/>
      </rPr>
      <t>Veni maxime Spiritus</t>
    </r>
  </si>
  <si>
    <r>
      <rPr>
        <sz val="10"/>
        <rFont val="Arial"/>
        <family val="2"/>
      </rPr>
      <t xml:space="preserve">— (literally </t>
    </r>
    <r>
      <rPr>
        <i/>
        <sz val="10"/>
        <rFont val="Arial"/>
        <family val="2"/>
      </rPr>
      <t>Come, greatest Spirit</t>
    </r>
    <r>
      <rPr>
        <sz val="10"/>
        <rFont val="Arial"/>
        <family val="2"/>
      </rPr>
      <t>)</t>
    </r>
  </si>
  <si>
    <t>Office hymns</t>
  </si>
  <si>
    <t>Matins</t>
  </si>
  <si>
    <r>
      <rPr>
        <sz val="10"/>
        <rFont val="Arial"/>
        <family val="2"/>
      </rPr>
      <t>Psalm 95 (</t>
    </r>
    <r>
      <rPr>
        <i/>
        <sz val="10"/>
        <rFont val="Arial"/>
        <family val="2"/>
      </rPr>
      <t>Venite</t>
    </r>
    <r>
      <rPr>
        <sz val="10"/>
        <rFont val="Arial"/>
        <family val="2"/>
      </rPr>
      <t>)</t>
    </r>
  </si>
  <si>
    <t>O come let us sing</t>
  </si>
  <si>
    <t>Lauds</t>
  </si>
  <si>
    <r>
      <rPr>
        <i/>
        <sz val="10"/>
        <rFont val="Arial"/>
        <family val="2"/>
      </rPr>
      <t>Benedictus Dominus Deus Israel</t>
    </r>
  </si>
  <si>
    <t>Blessed be the Lord God</t>
  </si>
  <si>
    <t>Vespers</t>
  </si>
  <si>
    <r>
      <rPr>
        <i/>
        <sz val="10"/>
        <rFont val="Arial"/>
        <family val="2"/>
      </rPr>
      <t>Magnificat</t>
    </r>
  </si>
  <si>
    <t>My Soul Now Magnifies the Lord</t>
  </si>
  <si>
    <t>Compline</t>
  </si>
  <si>
    <t>"Mitten wir im Leben sind"</t>
  </si>
  <si>
    <t>In the Very Midst of Life</t>
  </si>
  <si>
    <t>Catechism hymns</t>
  </si>
  <si>
    <t>Ten Commandments</t>
  </si>
  <si>
    <t>"Dies sind die heilgen zehn Gebot"</t>
  </si>
  <si>
    <t>These Are the Holy Ten Commands</t>
  </si>
  <si>
    <t>488, 490</t>
  </si>
  <si>
    <t>"Mensch, willst du leben seliglich"</t>
  </si>
  <si>
    <t>Wilt thou, O man, live happily</t>
  </si>
  <si>
    <t>Baptism</t>
  </si>
  <si>
    <t>"Christ, unser Herr, zum Jordan kam"</t>
  </si>
  <si>
    <t>To Jordan Came the Christ, Our Lord</t>
  </si>
  <si>
    <t>406-407</t>
  </si>
  <si>
    <t>Lord's Supper</t>
  </si>
  <si>
    <t>"Jesus Christus, unser Heiland"</t>
  </si>
  <si>
    <t>Keys and confession</t>
  </si>
  <si>
    <t>"Aus tiefer Not schrei ich zu dir"</t>
  </si>
  <si>
    <t>"So wahr ich leb, spricht Gott der Herr"</t>
  </si>
  <si>
    <t>"As Surely as I Live," God Said</t>
  </si>
  <si>
    <t>For occasions</t>
  </si>
  <si>
    <t>stanzas of "Durch Adams Fall ist ganz verderbt"</t>
  </si>
  <si>
    <t>All Mankind Fell in Adam's Fall</t>
  </si>
  <si>
    <t>430, 491</t>
  </si>
  <si>
    <t>"Herr, schaff uns wie die kleinen Kind"</t>
  </si>
  <si>
    <t>Lord, make us all as children small</t>
  </si>
  <si>
    <t>Wedding</t>
  </si>
  <si>
    <t>Ps 128: "Wohl dem, der in Gottes Furcht steht"</t>
  </si>
  <si>
    <t>Happy the man who feareth God</t>
  </si>
  <si>
    <t>Ps 127: "Wo Gott zum Haus nicht gibt sein Gunst"</t>
  </si>
  <si>
    <t>(Carver: If God Will not the Building Bless)</t>
  </si>
  <si>
    <t>"Dein Eh sollst du bewahren rein" (the sixth commandment: stanza 7 of "Dies sind die heilgen zehn Gebot")</t>
  </si>
  <si>
    <t>The sick and dying</t>
  </si>
  <si>
    <t>"Mit Fried und Freud ich fahr dahin"</t>
  </si>
  <si>
    <t>In Peace and Joy I Now Depart</t>
  </si>
  <si>
    <t>"Nun freut euch, lieben Christen gmein"</t>
  </si>
  <si>
    <t>Dear Christians, One and All, Rejoice</t>
  </si>
  <si>
    <t>Burial</t>
  </si>
  <si>
    <t>"Nun lasst uns den Leib begraben"</t>
  </si>
  <si>
    <t>This Body in the Grave We Lay</t>
  </si>
  <si>
    <r>
      <rPr>
        <i/>
        <sz val="10"/>
        <rFont val="Arial"/>
        <family val="2"/>
      </rPr>
      <t>Si bona suscepimus</t>
    </r>
    <r>
      <rPr>
        <sz val="10"/>
        <rFont val="Arial"/>
        <family val="2"/>
      </rPr>
      <t xml:space="preserve"> (responsory, Job 2:10)</t>
    </r>
  </si>
  <si>
    <r>
      <rPr>
        <i/>
        <sz val="10"/>
        <rFont val="Arial"/>
        <family val="2"/>
      </rPr>
      <t>Iam maesta quiesce querela</t>
    </r>
    <r>
      <rPr>
        <sz val="10"/>
        <rFont val="Arial"/>
        <family val="2"/>
      </rPr>
      <t xml:space="preserve"> ("Jam moesta quiesce")</t>
    </r>
  </si>
  <si>
    <t>Despair not, O heart in thy sorrow</t>
  </si>
  <si>
    <t>Ordination and installation</t>
  </si>
  <si>
    <t>Thanksgiving days</t>
  </si>
  <si>
    <t>Ps 124: "Wo Gott der Herr nicht bei uns hält"</t>
  </si>
  <si>
    <t>If God were not upon our side</t>
  </si>
  <si>
    <r>
      <rPr>
        <i/>
        <sz val="10"/>
        <rFont val="Arial"/>
        <family val="2"/>
      </rPr>
      <t>Kyrie fons bonitatis</t>
    </r>
    <r>
      <rPr>
        <sz val="10"/>
        <rFont val="Arial"/>
        <family val="2"/>
      </rPr>
      <t xml:space="preserve"> (the </t>
    </r>
    <r>
      <rPr>
        <i/>
        <sz val="10"/>
        <rFont val="Arial"/>
        <family val="2"/>
      </rPr>
      <t>Kyrie summum</t>
    </r>
    <r>
      <rPr>
        <sz val="10"/>
        <rFont val="Arial"/>
        <family val="2"/>
      </rPr>
      <t>)</t>
    </r>
  </si>
  <si>
    <t>Lord God, our Father, Thou our chiefest stay</t>
  </si>
  <si>
    <t>"Kyrie, Gott Vater in Ewigkeit"</t>
  </si>
  <si>
    <t>Kyrie! God, Father in Heaven Above</t>
  </si>
  <si>
    <t>"Ach Vater, allerhöchster Gott"</t>
  </si>
  <si>
    <r>
      <rPr>
        <sz val="10"/>
        <rFont val="Arial"/>
        <family val="2"/>
      </rPr>
      <t xml:space="preserve">— (literally </t>
    </r>
    <r>
      <rPr>
        <i/>
        <sz val="10"/>
        <rFont val="Arial"/>
        <family val="2"/>
      </rPr>
      <t>Ah Father, highest God</t>
    </r>
    <r>
      <rPr>
        <sz val="10"/>
        <rFont val="Arial"/>
        <family val="2"/>
      </rPr>
      <t>)</t>
    </r>
  </si>
  <si>
    <t>"O Herre Gott"</t>
  </si>
  <si>
    <r>
      <rPr>
        <sz val="10"/>
        <rFont val="Arial"/>
        <family val="2"/>
      </rPr>
      <t xml:space="preserve">— (literally </t>
    </r>
    <r>
      <rPr>
        <i/>
        <sz val="10"/>
        <rFont val="Arial"/>
        <family val="2"/>
      </rPr>
      <t>O Lord God</t>
    </r>
    <r>
      <rPr>
        <sz val="10"/>
        <rFont val="Arial"/>
        <family val="2"/>
      </rPr>
      <t>)</t>
    </r>
  </si>
  <si>
    <t>"O Vater allmächtiger Gott"</t>
  </si>
  <si>
    <r>
      <rPr>
        <sz val="10"/>
        <rFont val="Arial"/>
        <family val="2"/>
      </rPr>
      <t xml:space="preserve">— (literally </t>
    </r>
    <r>
      <rPr>
        <i/>
        <sz val="10"/>
        <rFont val="Arial"/>
        <family val="2"/>
      </rPr>
      <t>O Father, almighty God</t>
    </r>
    <r>
      <rPr>
        <sz val="10"/>
        <rFont val="Arial"/>
        <family val="2"/>
      </rPr>
      <t>)</t>
    </r>
  </si>
  <si>
    <t>"Heilig ist Gott der Vater"</t>
  </si>
  <si>
    <r>
      <rPr>
        <sz val="10"/>
        <rFont val="Arial"/>
        <family val="2"/>
      </rPr>
      <t xml:space="preserve">— (literally </t>
    </r>
    <r>
      <rPr>
        <i/>
        <sz val="10"/>
        <rFont val="Arial"/>
        <family val="2"/>
      </rPr>
      <t>Holy is God the Father</t>
    </r>
    <r>
      <rPr>
        <sz val="10"/>
        <rFont val="Arial"/>
        <family val="2"/>
      </rPr>
      <t>)</t>
    </r>
  </si>
  <si>
    <t>TLH 224: "Komm, Heiliger Geist, Herre Gott"</t>
  </si>
  <si>
    <r>
      <rPr>
        <sz val="10"/>
        <rFont val="Arial"/>
        <family val="2"/>
      </rPr>
      <t xml:space="preserve">TLH 227: </t>
    </r>
    <r>
      <rPr>
        <i/>
        <sz val="10"/>
        <rFont val="Arial"/>
        <family val="2"/>
      </rPr>
      <t>Veni Sancte Spiritus</t>
    </r>
    <r>
      <rPr>
        <sz val="10"/>
        <rFont val="Arial"/>
        <family val="2"/>
      </rPr>
      <t xml:space="preserve"> (the sequence)</t>
    </r>
  </si>
  <si>
    <r>
      <rPr>
        <sz val="10"/>
        <rFont val="Arial"/>
        <family val="2"/>
      </rPr>
      <t xml:space="preserve">TLH 233: </t>
    </r>
    <r>
      <rPr>
        <i/>
        <sz val="10"/>
        <rFont val="Arial"/>
        <family val="2"/>
      </rPr>
      <t>Veni Creator Spiritus</t>
    </r>
  </si>
  <si>
    <r>
      <rPr>
        <sz val="10"/>
        <rFont val="Arial"/>
        <family val="2"/>
      </rPr>
      <t xml:space="preserve">— (literally </t>
    </r>
    <r>
      <rPr>
        <i/>
        <sz val="10"/>
        <rFont val="Arial"/>
        <family val="2"/>
      </rPr>
      <t>Have mercy on me, O Lord God</t>
    </r>
    <r>
      <rPr>
        <sz val="10"/>
        <rFont val="Arial"/>
        <family val="2"/>
      </rPr>
      <t>)</t>
    </r>
  </si>
  <si>
    <t>Psalm 111</t>
  </si>
  <si>
    <t>— (a psalm)</t>
  </si>
  <si>
    <t>"Verleih uns Frieden gnädiglich"</t>
  </si>
  <si>
    <r>
      <rPr>
        <i/>
        <sz val="10"/>
        <rFont val="Arial"/>
        <family val="2"/>
      </rPr>
      <t>Da pacem, Domine</t>
    </r>
  </si>
  <si>
    <r>
      <rPr>
        <sz val="10"/>
        <rFont val="Arial"/>
        <family val="2"/>
      </rPr>
      <t xml:space="preserve">— (literally </t>
    </r>
    <r>
      <rPr>
        <i/>
        <sz val="10"/>
        <rFont val="Arial"/>
        <family val="2"/>
      </rPr>
      <t>Give peace, O Lord</t>
    </r>
    <r>
      <rPr>
        <sz val="10"/>
        <rFont val="Arial"/>
        <family val="2"/>
      </rPr>
      <t>)</t>
    </r>
  </si>
  <si>
    <t>"Sei Lob und Ehr mit hohem Preis" (the last stanza of "Es ist das Heil uns kommen her")</t>
  </si>
  <si>
    <t>"Danksagen wir alle Gott"</t>
  </si>
  <si>
    <r>
      <rPr>
        <sz val="10"/>
        <rFont val="Arial"/>
        <family val="2"/>
      </rPr>
      <t xml:space="preserve">— (literally </t>
    </r>
    <r>
      <rPr>
        <i/>
        <sz val="10"/>
        <rFont val="Arial"/>
        <family val="2"/>
      </rPr>
      <t>Let us all give thanks to God</t>
    </r>
    <r>
      <rPr>
        <sz val="10"/>
        <rFont val="Arial"/>
        <family val="2"/>
      </rPr>
      <t>)</t>
    </r>
  </si>
  <si>
    <t>Psalm 150</t>
  </si>
  <si>
    <r>
      <rPr>
        <i/>
        <sz val="10"/>
        <rFont val="Arial"/>
        <family val="2"/>
      </rPr>
      <t>Veni, Domine, visitare nos in pace</t>
    </r>
  </si>
  <si>
    <r>
      <rPr>
        <sz val="10"/>
        <rFont val="Arial"/>
        <family val="2"/>
      </rPr>
      <t xml:space="preserve">— (literally </t>
    </r>
    <r>
      <rPr>
        <i/>
        <sz val="10"/>
        <rFont val="Arial"/>
        <family val="2"/>
      </rPr>
      <t>Come, O Lord, visit us in peace</t>
    </r>
    <r>
      <rPr>
        <sz val="10"/>
        <rFont val="Arial"/>
        <family val="2"/>
      </rPr>
      <t>)</t>
    </r>
  </si>
  <si>
    <r>
      <rPr>
        <i/>
        <sz val="10"/>
        <rFont val="Arial"/>
        <family val="2"/>
      </rPr>
      <t>Grates nunc omnes reddamus</t>
    </r>
  </si>
  <si>
    <r>
      <rPr>
        <sz val="10"/>
        <rFont val="Arial"/>
        <family val="2"/>
      </rPr>
      <t xml:space="preserve">— (literally </t>
    </r>
    <r>
      <rPr>
        <i/>
        <sz val="10"/>
        <rFont val="Arial"/>
        <family val="2"/>
      </rPr>
      <t>Let us all now give thanks</t>
    </r>
    <r>
      <rPr>
        <sz val="10"/>
        <rFont val="Arial"/>
        <family val="2"/>
      </rPr>
      <t>)</t>
    </r>
  </si>
  <si>
    <r>
      <rPr>
        <i/>
        <sz val="10"/>
        <rFont val="Arial"/>
        <family val="2"/>
      </rPr>
      <t>Resonet in laudibus</t>
    </r>
  </si>
  <si>
    <t>He Whom Shepherds Once Came Praising</t>
  </si>
  <si>
    <t>718a, 718b, 718c</t>
  </si>
  <si>
    <r>
      <rPr>
        <i/>
        <sz val="10"/>
        <rFont val="Arial"/>
        <family val="2"/>
      </rPr>
      <t>Dies est laetitiae</t>
    </r>
  </si>
  <si>
    <r>
      <rPr>
        <sz val="10"/>
        <rFont val="Arial"/>
        <family val="2"/>
      </rPr>
      <t xml:space="preserve">— (literally </t>
    </r>
    <r>
      <rPr>
        <i/>
        <sz val="10"/>
        <rFont val="Arial"/>
        <family val="2"/>
      </rPr>
      <t>This is the day of gladness</t>
    </r>
    <r>
      <rPr>
        <sz val="10"/>
        <rFont val="Arial"/>
        <family val="2"/>
      </rPr>
      <t>)</t>
    </r>
  </si>
  <si>
    <r>
      <rPr>
        <sz val="10"/>
        <rFont val="Arial"/>
        <family val="2"/>
      </rPr>
      <t xml:space="preserve">— (literally </t>
    </r>
    <r>
      <rPr>
        <i/>
        <sz val="10"/>
        <rFont val="Arial"/>
        <family val="2"/>
      </rPr>
      <t>Joseph, dear Joseph mine</t>
    </r>
    <r>
      <rPr>
        <sz val="10"/>
        <rFont val="Arial"/>
        <family val="2"/>
      </rPr>
      <t>)</t>
    </r>
  </si>
  <si>
    <t>"Christe, der du bist Tag und Licht"</t>
  </si>
  <si>
    <t>Christ, everlasting Source of light</t>
  </si>
  <si>
    <t>Opening of the office</t>
  </si>
  <si>
    <r>
      <rPr>
        <i/>
        <sz val="10"/>
        <rFont val="Arial"/>
        <family val="2"/>
      </rPr>
      <t>Adesto, Deus unus</t>
    </r>
  </si>
  <si>
    <r>
      <rPr>
        <sz val="10"/>
        <rFont val="Arial"/>
        <family val="2"/>
      </rPr>
      <t xml:space="preserve">— (literally </t>
    </r>
    <r>
      <rPr>
        <i/>
        <sz val="10"/>
        <rFont val="Arial"/>
        <family val="2"/>
      </rPr>
      <t>Be present, one God</t>
    </r>
    <r>
      <rPr>
        <sz val="10"/>
        <rFont val="Arial"/>
        <family val="2"/>
      </rPr>
      <t>)</t>
    </r>
  </si>
  <si>
    <r>
      <rPr>
        <i/>
        <sz val="10"/>
        <rFont val="Arial"/>
        <family val="2"/>
      </rPr>
      <t>Salve Jesu Christe</t>
    </r>
  </si>
  <si>
    <r>
      <rPr>
        <sz val="10"/>
        <rFont val="Arial"/>
        <family val="2"/>
      </rPr>
      <t xml:space="preserve">— (literally </t>
    </r>
    <r>
      <rPr>
        <i/>
        <sz val="10"/>
        <rFont val="Arial"/>
        <family val="2"/>
      </rPr>
      <t>Hail, Jesus Christ</t>
    </r>
    <r>
      <rPr>
        <sz val="10"/>
        <rFont val="Arial"/>
        <family val="2"/>
      </rPr>
      <t>)</t>
    </r>
  </si>
  <si>
    <r>
      <rPr>
        <i/>
        <sz val="10"/>
        <rFont val="Arial"/>
        <family val="2"/>
      </rPr>
      <t>Salve Regina coeli</t>
    </r>
    <r>
      <rPr>
        <sz val="10"/>
        <rFont val="Arial"/>
        <family val="2"/>
      </rPr>
      <t>, turned upon Christ</t>
    </r>
  </si>
  <si>
    <r>
      <rPr>
        <sz val="10"/>
        <rFont val="Arial"/>
        <family val="2"/>
      </rPr>
      <t xml:space="preserve">— (literally </t>
    </r>
    <r>
      <rPr>
        <i/>
        <sz val="10"/>
        <rFont val="Arial"/>
        <family val="2"/>
      </rPr>
      <t>Hail, Queen of heaven</t>
    </r>
    <r>
      <rPr>
        <sz val="10"/>
        <rFont val="Arial"/>
        <family val="2"/>
      </rPr>
      <t>)</t>
    </r>
  </si>
  <si>
    <t>"Ich glaub an Gott"</t>
  </si>
  <si>
    <r>
      <rPr>
        <sz val="10"/>
        <rFont val="Arial"/>
        <family val="2"/>
      </rPr>
      <t xml:space="preserve">— (literally </t>
    </r>
    <r>
      <rPr>
        <i/>
        <sz val="10"/>
        <rFont val="Arial"/>
        <family val="2"/>
      </rPr>
      <t>I believe in God</t>
    </r>
    <r>
      <rPr>
        <sz val="10"/>
        <rFont val="Arial"/>
        <family val="2"/>
      </rPr>
      <t>)</t>
    </r>
  </si>
  <si>
    <t>"Erbarm dich mein, o Herre Gott"</t>
  </si>
  <si>
    <r>
      <rPr>
        <sz val="10"/>
        <rFont val="Arial"/>
        <family val="2"/>
      </rPr>
      <t xml:space="preserve">— (literally </t>
    </r>
    <r>
      <rPr>
        <i/>
        <sz val="10"/>
        <rFont val="Arial"/>
        <family val="2"/>
      </rPr>
      <t>Where God gives not his favour to the house</t>
    </r>
    <r>
      <rPr>
        <sz val="10"/>
        <rFont val="Arial"/>
        <family val="2"/>
      </rPr>
      <t>)</t>
    </r>
  </si>
  <si>
    <t>the baptism and communion hymns (above)</t>
  </si>
  <si>
    <t>see Baptism and Lord's Supper under the catechism hymns</t>
  </si>
  <si>
    <r>
      <rPr>
        <i/>
        <sz val="10"/>
        <rFont val="Arial"/>
        <family val="2"/>
      </rPr>
      <t>Media vita in morte sumus</t>
    </r>
  </si>
  <si>
    <r>
      <rPr>
        <sz val="10"/>
        <rFont val="Arial"/>
        <family val="2"/>
      </rPr>
      <t xml:space="preserve">— (literally </t>
    </r>
    <r>
      <rPr>
        <i/>
        <sz val="10"/>
        <rFont val="Arial"/>
        <family val="2"/>
      </rPr>
      <t>In the midst of life we are in death</t>
    </r>
    <r>
      <rPr>
        <sz val="10"/>
        <rFont val="Arial"/>
        <family val="2"/>
      </rPr>
      <t>)</t>
    </r>
  </si>
  <si>
    <r>
      <rPr>
        <sz val="10"/>
        <rFont val="Arial"/>
        <family val="2"/>
      </rPr>
      <t xml:space="preserve">— (literally </t>
    </r>
    <r>
      <rPr>
        <i/>
        <sz val="10"/>
        <rFont val="Arial"/>
        <family val="2"/>
      </rPr>
      <t>If we have received good at the hand of God</t>
    </r>
    <r>
      <rPr>
        <sz val="10"/>
        <rFont val="Arial"/>
        <family val="2"/>
      </rPr>
      <t>)</t>
    </r>
  </si>
  <si>
    <r>
      <rPr>
        <i/>
        <sz val="10"/>
        <rFont val="Arial"/>
        <family val="2"/>
      </rPr>
      <t>Veni Creator Spiritus</t>
    </r>
  </si>
  <si>
    <r>
      <rPr>
        <i/>
        <sz val="10"/>
        <rFont val="Arial"/>
        <family val="2"/>
      </rPr>
      <t>Veni Sancte Spiritus</t>
    </r>
    <r>
      <rPr>
        <sz val="10"/>
        <rFont val="Arial"/>
        <family val="2"/>
      </rPr>
      <t xml:space="preserve"> (the antiphon)</t>
    </r>
  </si>
  <si>
    <r>
      <rPr>
        <sz val="10"/>
        <rFont val="Arial"/>
        <family val="2"/>
      </rPr>
      <t xml:space="preserve">— (literally </t>
    </r>
    <r>
      <rPr>
        <i/>
        <sz val="10"/>
        <rFont val="Arial"/>
        <family val="2"/>
      </rPr>
      <t>Come, Holy Spirit, fill the hearts of thy faithful</t>
    </r>
    <r>
      <rPr>
        <sz val="10"/>
        <rFont val="Arial"/>
        <family val="2"/>
      </rPr>
      <t>)</t>
    </r>
  </si>
  <si>
    <r>
      <rPr>
        <b/>
        <sz val="10"/>
        <rFont val="Arial"/>
        <family val="2"/>
      </rPr>
      <t>Core Hymns of Liturgical Life</t>
    </r>
  </si>
  <si>
    <r>
      <rPr>
        <sz val="10"/>
        <rFont val="Arial"/>
        <family val="2"/>
      </rPr>
      <t xml:space="preserve">The hymns, chants and canticles at the centre of liturgical life in the church orders, as listed so far, with the English title of each in the Hymn Index. The title is the </t>
    </r>
    <r>
      <rPr>
        <b/>
        <sz val="10"/>
        <rFont val="Arial"/>
        <family val="2"/>
      </rPr>
      <t>HYMN TITLE</t>
    </r>
    <r>
      <rPr>
        <sz val="10"/>
        <rFont val="Arial"/>
        <family val="2"/>
      </rPr>
      <t>, column A of Hymn Index/LCMS-Worship-Lutheran-Hymn-Index.xlsx, given exactly as the spreadsheet has it. For most hymns that is the title in LSB, TLH or ELH. For a hymn that none of the later hymnals prints, it is the first line in an older book: Walther's Hymnal (WH, Matthew Carver's English translation of KELG, numbered like it), ELHB (1912) or The Lutheran Hymnary (TLHy, 1913).</t>
    </r>
  </si>
  <si>
    <t>The hymnal columns (KELG# to WOV#) are copied from the same spreadsheet, so that each hymn can be looked up in any of them; the abbreviations are those of Hymn Index/README.md. A dash means that the index has no row for the text; its literal English is given instead. The notes below explain the entries with a number in the Note column. The book treats these hymns in Chapter 8.</t>
  </si>
  <si>
    <r>
      <rPr>
        <b/>
        <sz val="10"/>
        <rFont val="Arial"/>
        <family val="2"/>
      </rPr>
      <t>Notes</t>
    </r>
  </si>
  <si>
    <r>
      <rPr>
        <b/>
        <sz val="10"/>
        <rFont val="Arial"/>
        <family val="2"/>
      </rPr>
      <t>Latin original and German version.</t>
    </r>
    <r>
      <rPr>
        <sz val="10"/>
        <rFont val="Arial"/>
        <family val="2"/>
      </rPr>
      <t xml:space="preserve"> The index keeps some Latin hymns and their German versions on separate rows, each with its own title in column A.
• </t>
    </r>
    <r>
      <rPr>
        <i/>
        <sz val="10"/>
        <rFont val="Arial"/>
        <family val="2"/>
      </rPr>
      <t>Kyrie fons bonitatis</t>
    </r>
    <r>
      <rPr>
        <sz val="10"/>
        <rFont val="Arial"/>
        <family val="2"/>
      </rPr>
      <t xml:space="preserve"> is "Lord God, our Father, Thou our chiefest stay" (TLHy 43). Its German version, "Kyrie, Gott Vater in Ewigkeit", is "Kyrie! God, Father in Heaven Above" (LSB 942, where it is titled "Kyrie! God, Father"; TLH 6).
• "Christe, der du bist Tag und Licht" is the German version of </t>
    </r>
    <r>
      <rPr>
        <i/>
        <sz val="10"/>
        <rFont val="Arial"/>
        <family val="2"/>
      </rPr>
      <t>Christe, qui lux es et dies</t>
    </r>
    <r>
      <rPr>
        <sz val="10"/>
        <rFont val="Arial"/>
        <family val="2"/>
      </rPr>
      <t xml:space="preserve">. Its row takes its title from WH and ELHB: "Christ, everlasting Source of light" (KELG 313, ELHB 34). The Latin hymn has the better-known "O Christ, Who Art the Light and Day" (LSB 882, TLH 559).
• </t>
    </r>
    <r>
      <rPr>
        <i/>
        <sz val="10"/>
        <rFont val="Arial"/>
        <family val="2"/>
      </rPr>
      <t>Iam maesta quiesce querela</t>
    </r>
    <r>
      <rPr>
        <sz val="10"/>
        <rFont val="Arial"/>
        <family val="2"/>
      </rPr>
      <t xml:space="preserve"> (Prudentius) is "Despair not, O heart in thy sorrow" (TLHy 595). Its German version, "Hört auf mit Trauern und Klagen", is "Now Hush Your Cries and Shed No Tear" (KELG 408, ELH 480).
• </t>
    </r>
    <r>
      <rPr>
        <i/>
        <sz val="10"/>
        <rFont val="Arial"/>
        <family val="2"/>
      </rPr>
      <t>Veni Creator Spiritus</t>
    </r>
    <r>
      <rPr>
        <sz val="10"/>
        <rFont val="Arial"/>
        <family val="2"/>
      </rPr>
      <t xml:space="preserve"> is "Come, Holy Ghost, Creator Blest". Luther's German version, "Komm, Gott Schöpfer, Heiliger Geist", is "Come, God, Creator, Holy Ghost" (KELG 132, ELHB 249).
The index records TLHy 43 and TLHy 595 as probable, not confirmed, translations of their Latin originals.</t>
    </r>
  </si>
  <si>
    <r>
      <rPr>
        <b/>
        <sz val="10"/>
        <rFont val="Arial"/>
        <family val="2"/>
      </rPr>
      <t>Luther's creed hymn.</t>
    </r>
    <r>
      <rPr>
        <sz val="10"/>
        <rFont val="Arial"/>
        <family val="2"/>
      </rPr>
      <t xml:space="preserve"> Two hymns open "We All Believe in One True God": Luther's (LSB 954, TLH 251) and Clausnitzer's (LSB 953, TLH 252). Column A tells them apart by a word added to the title, "Maker" for Luther's and "Father" for Clausnitzer's. The hymnals print both as "We All Believe in One True God". The church orders mean Luther's.</t>
    </r>
  </si>
  <si>
    <r>
      <rPr>
        <b/>
        <i/>
        <sz val="10"/>
        <rFont val="Arial"/>
        <family val="2"/>
      </rPr>
      <t>Veni Sancte Spiritus</t>
    </r>
    <r>
      <rPr>
        <b/>
        <sz val="10"/>
        <rFont val="Arial"/>
        <family val="2"/>
      </rPr>
      <t>.</t>
    </r>
    <r>
      <rPr>
        <sz val="10"/>
        <rFont val="Arial"/>
        <family val="2"/>
      </rPr>
      <t xml:space="preserve"> The name covers two texts. At Pentecost it is the sequence </t>
    </r>
    <r>
      <rPr>
        <i/>
        <sz val="10"/>
        <rFont val="Arial"/>
        <family val="2"/>
      </rPr>
      <t>Veni, Sancte Spiritus, et emitte caelitus</t>
    </r>
    <r>
      <rPr>
        <sz val="10"/>
        <rFont val="Arial"/>
        <family val="2"/>
      </rPr>
      <t xml:space="preserve">, with a stanza of "Nun bitten wir" after every two verses (§8.8.3); TLH 227, "Come Holy Ghost in Love", is that sequence. At the opening of the service and at ordination (§13.10.2) it is the antiphon </t>
    </r>
    <r>
      <rPr>
        <i/>
        <sz val="10"/>
        <rFont val="Arial"/>
        <family val="2"/>
      </rPr>
      <t>Veni, Sancte Spiritus, reple tuorum corda fidelium</t>
    </r>
    <r>
      <rPr>
        <sz val="10"/>
        <rFont val="Arial"/>
        <family val="2"/>
      </rPr>
      <t>, sung with a versicle and a collect. The index has no row for the Latin antiphon. Luther's German hymn on it, "Komm, Heiliger Geist, Herre Gott", is "Come, Holy Ghost, God and Lord" (LSB 497, TLH 224).</t>
    </r>
  </si>
  <si>
    <r>
      <rPr>
        <b/>
        <sz val="10"/>
        <rFont val="Arial"/>
        <family val="2"/>
      </rPr>
      <t>Titles in hymns.db for hymns the index lacks.</t>
    </r>
    <r>
      <rPr>
        <sz val="10"/>
        <rFont val="Arial"/>
        <family val="2"/>
      </rPr>
      <t xml:space="preserve"> None of the hymnals in the index has "Erbarm dich mein, o Herre Gott", "Danksagen wir alle Gott" or "Wo Gott zum Haus nicht gibt sein Gunst". The book's own hymn database, hymns.db, gives them English titles: "Have Mercy on Me, O Lord God", "We All Give Thanks to God" and "Unless the Lord Builds Up the House". No hymnal here has those titles, so the table gives the literal English instead.</t>
    </r>
  </si>
  <si>
    <r>
      <rPr>
        <b/>
        <sz val="10"/>
        <rFont val="Arial"/>
        <family val="2"/>
      </rPr>
      <t>Two hymns on Psalm 124.</t>
    </r>
    <r>
      <rPr>
        <sz val="10"/>
        <rFont val="Arial"/>
        <family val="2"/>
      </rPr>
      <t xml:space="preserve"> Luther's "Wär Gott nicht mit uns diese Zeit" is "If God Had Not Been on Our Side" (TLH 267). Justus Jonas's "Wo Gott der Herr nicht bei uns hält" is "If God were not upon our side" (KELG 438, ELHB 284). The titles are close, but the hymns are different.</t>
    </r>
  </si>
  <si>
    <r>
      <rPr>
        <b/>
        <sz val="10"/>
        <rFont val="Arial"/>
        <family val="2"/>
      </rPr>
      <t>Canticles.</t>
    </r>
    <r>
      <rPr>
        <sz val="10"/>
        <rFont val="Arial"/>
        <family val="2"/>
      </rPr>
      <t xml:space="preserve"> The index lists a canticle wherever a hymnal prints it, so some canticles have more than one row. The table gives the following rows:
• </t>
    </r>
    <r>
      <rPr>
        <i/>
        <sz val="10"/>
        <rFont val="Arial"/>
        <family val="2"/>
      </rPr>
      <t>Te Deum</t>
    </r>
    <r>
      <rPr>
        <sz val="10"/>
        <rFont val="Arial"/>
        <family val="2"/>
      </rPr>
      <t xml:space="preserve">: "Te Deum laudamus", the row of LSB's Matins </t>
    </r>
    <r>
      <rPr>
        <i/>
        <sz val="10"/>
        <rFont val="Arial"/>
        <family val="2"/>
      </rPr>
      <t>Te Deum</t>
    </r>
    <r>
      <rPr>
        <sz val="10"/>
        <rFont val="Arial"/>
        <family val="2"/>
      </rPr>
      <t xml:space="preserve"> (p. 223) and of Luther's German </t>
    </r>
    <r>
      <rPr>
        <i/>
        <sz val="10"/>
        <rFont val="Arial"/>
        <family val="2"/>
      </rPr>
      <t>Te Deum</t>
    </r>
    <r>
      <rPr>
        <sz val="10"/>
        <rFont val="Arial"/>
        <family val="2"/>
      </rPr>
      <t xml:space="preserve">, "Herr Gott, dich loben wir" (KELG 337).
• </t>
    </r>
    <r>
      <rPr>
        <i/>
        <sz val="10"/>
        <rFont val="Arial"/>
        <family val="2"/>
      </rPr>
      <t>Nunc dimittis</t>
    </r>
    <r>
      <rPr>
        <sz val="10"/>
        <rFont val="Arial"/>
        <family val="2"/>
      </rPr>
      <t xml:space="preserve">: "Lord, Now You Let Your Servant", the canticle of TLH's communion service (p. 29) and of ELH. Luther's hymn on it, "Mit Fried und Freud ich fahr dahin", is "In Peace and Joy I Now Depart" (LSB 938, TLH 137).
• </t>
    </r>
    <r>
      <rPr>
        <i/>
        <sz val="10"/>
        <rFont val="Arial"/>
        <family val="2"/>
      </rPr>
      <t>Magnificat</t>
    </r>
    <r>
      <rPr>
        <sz val="10"/>
        <rFont val="Arial"/>
        <family val="2"/>
      </rPr>
      <t xml:space="preserve">: "My Soul Now Magnifies the Lord" (LSB 934, TLH 275). The index also has "My soul doth magnify the Lord" (ELHB 572) and "Magnificat" (HS'98 803).
• </t>
    </r>
    <r>
      <rPr>
        <i/>
        <sz val="10"/>
        <rFont val="Arial"/>
        <family val="2"/>
      </rPr>
      <t>Benedicite</t>
    </r>
    <r>
      <rPr>
        <sz val="10"/>
        <rFont val="Arial"/>
        <family val="2"/>
      </rPr>
      <t xml:space="preserve">: "All You Works of God, Bless the Lord" (LSB 930). The index also has "All You Works of the Lord" (LSB 931, LW 9).
• </t>
    </r>
    <r>
      <rPr>
        <i/>
        <sz val="10"/>
        <rFont val="Arial"/>
        <family val="2"/>
      </rPr>
      <t>Venite</t>
    </r>
    <r>
      <rPr>
        <sz val="10"/>
        <rFont val="Arial"/>
        <family val="2"/>
      </rPr>
      <t xml:space="preserve"> (Psalm 95): only ELHB 575, "O come let us sing".
• </t>
    </r>
    <r>
      <rPr>
        <i/>
        <sz val="10"/>
        <rFont val="Arial"/>
        <family val="2"/>
      </rPr>
      <t>Benedictus</t>
    </r>
    <r>
      <rPr>
        <sz val="10"/>
        <rFont val="Arial"/>
        <family val="2"/>
      </rPr>
      <t>: "Blessed be the Lord God" (ELHB 570). The index also has "Blessed Be the God of Israel" (CW'21 954) and "Blest Be the God of Israel" (KELG 152, CW'93 275).</t>
    </r>
  </si>
  <si>
    <r>
      <rPr>
        <b/>
        <sz val="10"/>
        <rFont val="Arial"/>
        <family val="2"/>
      </rPr>
      <t>Latin chants known through a German version.</t>
    </r>
    <r>
      <rPr>
        <sz val="10"/>
        <rFont val="Arial"/>
        <family val="2"/>
      </rPr>
      <t xml:space="preserve"> The index has no row for these Latin texts, but it has the German versions of three of them:
• </t>
    </r>
    <r>
      <rPr>
        <i/>
        <sz val="10"/>
        <rFont val="Arial"/>
        <family val="2"/>
      </rPr>
      <t>Da pacem, Domine</t>
    </r>
    <r>
      <rPr>
        <sz val="10"/>
        <rFont val="Arial"/>
        <family val="2"/>
      </rPr>
      <t xml:space="preserve">: Luther's "Verleih uns Frieden gnädiglich", "Grant Peace, We Pray, in Mercy, Lord" (LSB 777, 778).
• </t>
    </r>
    <r>
      <rPr>
        <i/>
        <sz val="10"/>
        <rFont val="Arial"/>
        <family val="2"/>
      </rPr>
      <t>Media vita in morte sumus</t>
    </r>
    <r>
      <rPr>
        <sz val="10"/>
        <rFont val="Arial"/>
        <family val="2"/>
      </rPr>
      <t xml:space="preserve">: Luther's "Mitten wir im Leben sind", "In the Very Midst of Life" (LSB 755, TLH 590).
• </t>
    </r>
    <r>
      <rPr>
        <i/>
        <sz val="10"/>
        <rFont val="Arial"/>
        <family val="2"/>
      </rPr>
      <t>Dies est laetitiae</t>
    </r>
    <r>
      <rPr>
        <sz val="10"/>
        <rFont val="Arial"/>
        <family val="2"/>
      </rPr>
      <t xml:space="preserve">: "Der Tag, der ist so freudenreich", "Now Hail the Day So Rich in Cheer" (TLH 78, KELG 17).
The German version of </t>
    </r>
    <r>
      <rPr>
        <i/>
        <sz val="10"/>
        <rFont val="Arial"/>
        <family val="2"/>
      </rPr>
      <t>Grates nunc omnes reddamus</t>
    </r>
    <r>
      <rPr>
        <sz val="10"/>
        <rFont val="Arial"/>
        <family val="2"/>
      </rPr>
      <t>, "Danksagen wir alle Gott", is not in the index either.</t>
    </r>
  </si>
  <si>
    <r>
      <rPr>
        <b/>
        <sz val="10"/>
        <rFont val="Arial"/>
        <family val="2"/>
      </rPr>
      <t>"Sei Lob und Ehr".</t>
    </r>
    <r>
      <rPr>
        <sz val="10"/>
        <rFont val="Arial"/>
        <family val="2"/>
      </rPr>
      <t xml:space="preserve"> The church orders' closing hymn "Sei Lob und Ehr" is "Sei Lob und Ehr mit hohem Preis", the last stanza of Speratus's "Es ist das Heil uns kommen her" (§8.15.3), so the table gives that hymn's title, "Salvation Unto Us Has Come". The English "Praise and honour be to the highest good" belongs to a later hymn, Johann Jakob Schütz's "Sei Lob und Ehr dem höchsten Gut" (1675), which is "Sing Praise to God, the Highest Good" (LSB 819, TLH 19).</t>
    </r>
  </si>
  <si>
    <r>
      <rPr>
        <b/>
        <sz val="10"/>
        <rFont val="Arial"/>
        <family val="2"/>
      </rPr>
      <t>The Quempas.</t>
    </r>
    <r>
      <rPr>
        <sz val="10"/>
        <rFont val="Arial"/>
        <family val="2"/>
      </rPr>
      <t xml:space="preserve"> The index files the three parts of the Quempas Celebration in WS'69 (718a–c) on one row, "He Whom Shepherds Once Came Praising" (LW 54). </t>
    </r>
    <r>
      <rPr>
        <i/>
        <sz val="10"/>
        <rFont val="Arial"/>
        <family val="2"/>
      </rPr>
      <t>Nunc angelorum gloria</t>
    </r>
    <r>
      <rPr>
        <sz val="10"/>
        <rFont val="Arial"/>
        <family val="2"/>
      </rPr>
      <t xml:space="preserve"> is the second part, 718b, whose own first line is "The glorious angels came today". </t>
    </r>
    <r>
      <rPr>
        <i/>
        <sz val="10"/>
        <rFont val="Arial"/>
        <family val="2"/>
      </rPr>
      <t>Resonet in laudibus</t>
    </r>
    <r>
      <rPr>
        <sz val="10"/>
        <rFont val="Arial"/>
        <family val="2"/>
      </rPr>
      <t xml:space="preserve"> is in the index only as the name of the tune of the third part, 718c ("God's own Son is born a child"). The Latin text has no row, and neither has "Joseph, lieber Joseph mein", which is sung to the same melody.</t>
    </r>
  </si>
  <si>
    <r>
      <rPr>
        <b/>
        <sz val="10"/>
        <rFont val="Arial"/>
        <family val="2"/>
      </rPr>
      <t>"Ich glaub an Gott".</t>
    </r>
    <r>
      <rPr>
        <sz val="10"/>
        <rFont val="Arial"/>
        <family val="2"/>
      </rPr>
      <t xml:space="preserve"> In the church orders this is the Apostles' Creed sung word for word in German prose, "Ich glaub an Gott Vater" (§8.9). It is not a hymn, and no hymnal prints it as one. hymns.db calls it "I Believe in God (Credo)".</t>
    </r>
  </si>
  <si>
    <r>
      <rPr>
        <b/>
        <sz val="10"/>
        <rFont val="Arial"/>
        <family val="2"/>
      </rPr>
      <t>"So wahr ich leb".</t>
    </r>
    <r>
      <rPr>
        <sz val="10"/>
        <rFont val="Arial"/>
        <family val="2"/>
      </rPr>
      <t xml:space="preserve"> The hymn of the keys is Nikolaus Herman's "So wahr ich leb, spricht Gott der Herr" (1560), which is </t>
    </r>
    <r>
      <rPr>
        <i/>
        <sz val="10"/>
        <rFont val="Arial"/>
        <family val="2"/>
      </rPr>
      <t>"As Surely as I Live," God Said</t>
    </r>
    <r>
      <rPr>
        <sz val="10"/>
        <rFont val="Arial"/>
        <family val="2"/>
      </rPr>
      <t xml:space="preserve"> (LSB 614, TLH 331). Johann Heermann's "So wahr ich lebe, spricht dein Gott" (KELG 229) is a later and different hymn.</t>
    </r>
  </si>
  <si>
    <t>Note number</t>
  </si>
  <si>
    <t>"Kyrie, Gott Vater in Ewigkeit" is the German substitute for the Latin "Kyrie fons bonitatis" (the Kyrie Summum). TLHy 43 is a rendering of the Latin titled "Lord God, our Father, Thou our chiefest stay." The others are a rendering of the German</t>
  </si>
  <si>
    <t>Two hymns on Psalm 124. Luther's "Wär Gott nicht mit uns diese Zeit" is "If God Had Not Been on Our Side" (TLH 267). Justus Jonas's "Wo Gott der Herr nicht bei uns hält" is "If God were not upon our side" (KELG 438, ELHB 284). The titles are close, but the hymns are different. Luther's is the more famous one and thus has been selected.</t>
  </si>
  <si>
    <t>Praise God from whom All Blessings Flow is the closest thing to a metrical Psalm 150 in our hymnals</t>
  </si>
  <si>
    <t>These rows are really placeholders for the Quempas Celebration songs</t>
  </si>
  <si>
    <t>Iam maesta quiesce querela (Prudentius) is "Despair not, O heart in thy sorrow" (TLHy 595). Its German version, "Hört auf mit Trauern und Klagen", is "Now Hush Your Cries and Shed No Tear" (KELG 408, ELH 480).</t>
  </si>
  <si>
    <t>The LH numbers are the ones printed on Liber Hymnorum's hymn pages, where its English and Latin sections agree. Its index of first lines (p. 297) misnumbers four hymns: In dulci jubilo is 109 (index: 110), Resonet in laudibus 112 (index: 114), Quem pastores laudavere 114 (index: 116; it is with Nunc angelorum gloria, 113, in that row) and Quando Christus ascenderat 105 (index: 103).</t>
  </si>
  <si>
    <t>Sunday or feast</t>
  </si>
  <si>
    <t>Original title</t>
  </si>
  <si>
    <t>Literal English</t>
  </si>
  <si>
    <t>Common English title</t>
  </si>
  <si>
    <t>Old witnesses</t>
  </si>
  <si>
    <t>Modern sources</t>
  </si>
  <si>
    <t>Shown for</t>
  </si>
  <si>
    <t>The modern sources</t>
  </si>
  <si>
    <t>Old witnesses and modern sources</t>
  </si>
  <si>
    <t>Advent 2</t>
  </si>
  <si>
    <t>Gott hat das Evangelium</t>
  </si>
  <si>
    <t>God has given the gospel</t>
  </si>
  <si>
    <t>God Gave the Gospel That We May †</t>
  </si>
  <si>
    <t>11 of 18</t>
  </si>
  <si>
    <t>0 of 8</t>
  </si>
  <si>
    <t>Es ist gewisslich an der Zeit</t>
  </si>
  <si>
    <t>It is surely time</t>
  </si>
  <si>
    <t>The Day Is Surely Drawing Near</t>
  </si>
  <si>
    <t>8 of 18</t>
  </si>
  <si>
    <t>Ihr lieben Christen, freut euch nun</t>
  </si>
  <si>
    <t>Ye dear Christians, rejoice now</t>
  </si>
  <si>
    <t>Rejoice, Rejoice, Ye Christians Dear †</t>
  </si>
  <si>
    <t>Der Bräutgam wird bald rufen</t>
  </si>
  <si>
    <t>The bridegroom will soon call</t>
  </si>
  <si>
    <t>The Bridegroom Soon Will Call Us</t>
  </si>
  <si>
    <t>0 of 18</t>
  </si>
  <si>
    <t>5 of 8</t>
  </si>
  <si>
    <t>Eckardt, The Lutheran Propers; Gehrke; Krusemark, Years A, B and C; Reuning; Zion</t>
  </si>
  <si>
    <t>LCMS Synod selections (2016-17); Reuning; Stuckwisch (sword-in-hat list)</t>
  </si>
  <si>
    <t>Advent 3</t>
  </si>
  <si>
    <t>Herr Christ, der einig Gotts Sohn</t>
  </si>
  <si>
    <t>Lord Christ, the only Son of God</t>
  </si>
  <si>
    <t>The Only Son from Heaven</t>
  </si>
  <si>
    <t>0 of 10</t>
  </si>
  <si>
    <t>Mit Ernst, o Menschenkinder</t>
  </si>
  <si>
    <t>In earnest, O children of men</t>
  </si>
  <si>
    <t>Arise, O Christian People</t>
  </si>
  <si>
    <t>5 of 10</t>
  </si>
  <si>
    <t>Gehrke; Judisch; Lutheran Worship (1982); Redeemer; Reuning</t>
  </si>
  <si>
    <t>Vox clara ecce intonat</t>
  </si>
  <si>
    <t>Behold, a clear voice sounds forth</t>
  </si>
  <si>
    <t>Hark! A Thrilling Voice is Sounding</t>
  </si>
  <si>
    <t>Krusemark, Years A, B and C; LCMS Synod selections (2016-17); Reuning; Stuckwisch (sword-in-hat list); Zion</t>
  </si>
  <si>
    <t>Advent 4</t>
  </si>
  <si>
    <t>0 of 9</t>
  </si>
  <si>
    <t>Veni, veni, Emmanuel</t>
  </si>
  <si>
    <t>Come, come, Emmanuel</t>
  </si>
  <si>
    <t>O Come, O Come, Emmanuel</t>
  </si>
  <si>
    <t>0 of 15</t>
  </si>
  <si>
    <t>7 of 9</t>
  </si>
  <si>
    <t>Eckardt, The Lutheran Propers; Gehrke; Krusemark, Years A, B and C; LCMS Synod selections (2016-17); Reuning; Stuckwisch (sword-in-hat list); Zion</t>
  </si>
  <si>
    <t>Tröstet, tröstet meine Lieben</t>
  </si>
  <si>
    <t>Comfort, comfort my beloved</t>
  </si>
  <si>
    <t>Comfort, Comfort Ye My People</t>
  </si>
  <si>
    <t>4 of 9</t>
  </si>
  <si>
    <t>Judisch; Redeemer; Reuning; Zion</t>
  </si>
  <si>
    <t>Christmas Day</t>
  </si>
  <si>
    <t>Christ we should indeed praise</t>
  </si>
  <si>
    <t>17 of 25</t>
  </si>
  <si>
    <t>1 of 12</t>
  </si>
  <si>
    <t>Other (unattributed)</t>
  </si>
  <si>
    <t>6 of 12</t>
  </si>
  <si>
    <t>0 of 12</t>
  </si>
  <si>
    <t>Vom Himmel kam der Engel Schar</t>
  </si>
  <si>
    <t>From heaven came the host of angels</t>
  </si>
  <si>
    <t>To Shepherds as They Watched by Night</t>
  </si>
  <si>
    <t>3 of 12</t>
  </si>
  <si>
    <t>Sunday after Christmas</t>
  </si>
  <si>
    <t>4 of 10</t>
  </si>
  <si>
    <t>3 of 10</t>
  </si>
  <si>
    <t>Lobt Gott, ihr Christen, allzugleich</t>
  </si>
  <si>
    <t>Praise God, ye Christians, all together</t>
  </si>
  <si>
    <t>Let All Together Praise Our God</t>
  </si>
  <si>
    <t>6 of 10</t>
  </si>
  <si>
    <t>LCMS Synod selections (2016-17); Lutheran Service Book (2006); Lutheran Worship (1982); Other (unattributed); Stuckwisch (sword-in-hat list); Zion</t>
  </si>
  <si>
    <t>Gehrke; Judisch; Reuning; SELK hymnal</t>
  </si>
  <si>
    <t>New Year (Circumcision)</t>
  </si>
  <si>
    <t>Helft mir Gotts Güte preisen</t>
  </si>
  <si>
    <t>Help me praise God's goodness</t>
  </si>
  <si>
    <t>To God the Anthem Raising †</t>
  </si>
  <si>
    <t>8 of 16</t>
  </si>
  <si>
    <t>Das alte Jahr vergangen ist</t>
  </si>
  <si>
    <t>The old year has passed</t>
  </si>
  <si>
    <t>The Old Year Now Hath Passed Away</t>
  </si>
  <si>
    <t>6 of 16</t>
  </si>
  <si>
    <t>Felix dies, quam proprio</t>
  </si>
  <si>
    <t>Happy day, which by his own</t>
  </si>
  <si>
    <t>O Blessed Day When First was Poured</t>
  </si>
  <si>
    <t>0 of 16</t>
  </si>
  <si>
    <t>4 of 8</t>
  </si>
  <si>
    <t>Gehrke; Redeemer; Reuning; Zion</t>
  </si>
  <si>
    <t>Sunday after New Year</t>
  </si>
  <si>
    <t>0 of 11</t>
  </si>
  <si>
    <t>A solis ortus cardine</t>
  </si>
  <si>
    <t>From the hinge of the rising sun</t>
  </si>
  <si>
    <t>From East to West, From Shore to Shore</t>
  </si>
  <si>
    <t>0 of 3</t>
  </si>
  <si>
    <t>5 of 11</t>
  </si>
  <si>
    <t>Rett, o Herr Jesu, rett dein Ehr</t>
  </si>
  <si>
    <t>Save, O Lord Jesus, save thine honour</t>
  </si>
  <si>
    <t>Thine Honor Save, O Christ, Our Lord</t>
  </si>
  <si>
    <t>4 of 11</t>
  </si>
  <si>
    <t>Epiphany</t>
  </si>
  <si>
    <t>Was fürchtst du, Feind Herodes, sehr</t>
  </si>
  <si>
    <t>Why dost thou fear so, foe Herod</t>
  </si>
  <si>
    <t>Why, Herod, Unrelenting Foe</t>
  </si>
  <si>
    <t>18 of 25</t>
  </si>
  <si>
    <t>Epiphany 1</t>
  </si>
  <si>
    <t>Corde natus ex parentis</t>
  </si>
  <si>
    <t>Born of the Father's heart</t>
  </si>
  <si>
    <t>Of the Father’s Love Begotten</t>
  </si>
  <si>
    <t>0 of 17</t>
  </si>
  <si>
    <t>Gehrke; Krusemark, Years A, B and C; Reuning; Zion</t>
  </si>
  <si>
    <t>Eckardt, The Lutheran Propers; LCMS Synod selections (2016-17); Reuning; Stuckwisch (sword-in-hat list)</t>
  </si>
  <si>
    <t>7 of 8</t>
  </si>
  <si>
    <t>Epiphany 2</t>
  </si>
  <si>
    <t>Krusemark, Years A, B and C</t>
  </si>
  <si>
    <t>6 of 17</t>
  </si>
  <si>
    <t>LCMS Synod selections (2016-17); Stuckwisch (sword-in-hat list); Zion</t>
  </si>
  <si>
    <t>Epiphany 3</t>
  </si>
  <si>
    <t>Ich ruf zu dir, Herr Jesu Christ</t>
  </si>
  <si>
    <t>I call to thee, Lord Jesus Christ</t>
  </si>
  <si>
    <t>I Call to Thee, Lord Jesus Christ</t>
  </si>
  <si>
    <t>A Patre unigenitus</t>
  </si>
  <si>
    <t>Only-begotten of the Father</t>
  </si>
  <si>
    <t>From God the Father, Virgin-Born</t>
  </si>
  <si>
    <t>LCMS Synod selections (2016-17); Reuning; Stuckwisch (sword-in-hat list); Zion</t>
  </si>
  <si>
    <t>Epiphany 4</t>
  </si>
  <si>
    <t>Such, wer da will, ein ander Ziel</t>
  </si>
  <si>
    <t>Seek, whoever will, another goal</t>
  </si>
  <si>
    <t>Seek Where Ye May to Find a Way</t>
  </si>
  <si>
    <t>9 of 10</t>
  </si>
  <si>
    <t>Gehrke; Judisch; LCMS Synod selections (2016-17); Lutheran Service Book (2006); Redeemer; Reuning; SELK hymnal; Stuckwisch (sword-in-hat list); Zion</t>
  </si>
  <si>
    <t>7 of 11</t>
  </si>
  <si>
    <t>Transfiguration</t>
  </si>
  <si>
    <t>0 of 1</t>
  </si>
  <si>
    <t>Gehrke; Judisch; Krusemark, Years A, B and C; Redeemer; Reuning; Zion</t>
  </si>
  <si>
    <t>Caelestis formam gloriae</t>
  </si>
  <si>
    <t>The form of the heavenly glory</t>
  </si>
  <si>
    <t>O Wondrous Type! O Vision Fair</t>
  </si>
  <si>
    <t>Sexagesima</t>
  </si>
  <si>
    <t>Es spricht der Unweisen Mund wohl</t>
  </si>
  <si>
    <t>The mouth of the unwise says indeed</t>
  </si>
  <si>
    <t>The Mouth of Fools Doth God Confess</t>
  </si>
  <si>
    <t>Kommt her zu mir, spricht Gottes Sohn</t>
  </si>
  <si>
    <t>Come here to me, says God's Son</t>
  </si>
  <si>
    <t>Come unto Me, Ye Weary</t>
  </si>
  <si>
    <t>6 of 19</t>
  </si>
  <si>
    <t>Quinquagesima (Estomihi)</t>
  </si>
  <si>
    <t>3 of 9</t>
  </si>
  <si>
    <t>Herr Jesu Christ, wahr Mensch und Gott</t>
  </si>
  <si>
    <t>Lord Jesus Christ, true man and God</t>
  </si>
  <si>
    <t>Lord Jesus Christ, True Man and God</t>
  </si>
  <si>
    <t>Lasset uns mit Jesu ziehen</t>
  </si>
  <si>
    <t>Let us go with Jesus</t>
  </si>
  <si>
    <t>Let Us Ever Walk with Jesus</t>
  </si>
  <si>
    <t>Gehrke; Judisch; Reuning; SELK hymnal; Stuckwisch (sword-in-hat list); Zion</t>
  </si>
  <si>
    <t>Lent 3 (Oculi)</t>
  </si>
  <si>
    <t>Christe, du Beistand deiner Kreuzgemeine</t>
  </si>
  <si>
    <t>Christ, thou helper of thy church under the cross</t>
  </si>
  <si>
    <t>Lord of Our Life</t>
  </si>
  <si>
    <t>9 of 11</t>
  </si>
  <si>
    <t>Gehrke; Judisch; Krusemark, Years A, B and C; LCMS Synod selections (2016-17); Lutheran Service Book (2006); Redeemer; Reuning; Stuckwisch (sword-in-hat list); Zion</t>
  </si>
  <si>
    <t>Lent 4 (Laetare)</t>
  </si>
  <si>
    <t>5 of 17</t>
  </si>
  <si>
    <t>O Mensch, bewein dein Sünde groß</t>
  </si>
  <si>
    <t>O man, bewail thy great sin</t>
  </si>
  <si>
    <t>O Man, Bewail Thy Grievous Sin</t>
  </si>
  <si>
    <t>11 of 12</t>
  </si>
  <si>
    <t>Gehrke; Judisch; Krusemark, Years A, B and C; LCMS Synod selections (2016-17); Lutheran Service Book (2006); Lutheran Worship (1982); Redeemer; Reuning; SELK hymnal; Stuckwisch (sword-in-hat list); Zion</t>
  </si>
  <si>
    <t>Lent 5 (Judica)</t>
  </si>
  <si>
    <t>4 of 14</t>
  </si>
  <si>
    <t>Da Jesus an dem Kreuze stund</t>
  </si>
  <si>
    <t>When Jesus on the cross stood</t>
  </si>
  <si>
    <t>When Jesus on the Cross Was Bound</t>
  </si>
  <si>
    <t>0 of 14</t>
  </si>
  <si>
    <t>Vexilla regis prodeunt</t>
  </si>
  <si>
    <t>The banners of the King go forth</t>
  </si>
  <si>
    <t>The Royal Banners Forward Go</t>
  </si>
  <si>
    <t>2 of 14</t>
  </si>
  <si>
    <t>Gehrke; Reuning; Zion</t>
  </si>
  <si>
    <t>Editor (‡) and modern sources</t>
  </si>
  <si>
    <t>Good Friday</t>
  </si>
  <si>
    <t>Pange, lingua, gloriosi proelium certaminis</t>
  </si>
  <si>
    <t>Sing, O tongue, the battle of the glorious contest</t>
  </si>
  <si>
    <t>Sing, My Tongue, the Glorious Battle</t>
  </si>
  <si>
    <t>3 of 7</t>
  </si>
  <si>
    <t>LCMS Synod selections (2016-17); Lutheran Service Book (2006); Redeemer</t>
  </si>
  <si>
    <t>Easter Day</t>
  </si>
  <si>
    <t>Jesus Christus, unser Heiland, der den Tod überwand</t>
  </si>
  <si>
    <t>Jesus Christ, our Saviour, who overcame death</t>
  </si>
  <si>
    <t>Jesus Christ, Our Savior and King †</t>
  </si>
  <si>
    <t>15 of 22</t>
  </si>
  <si>
    <t>Easter 1 (Quasimodogeniti)</t>
  </si>
  <si>
    <t>O filii et filiae</t>
  </si>
  <si>
    <t>O sons and daughters</t>
  </si>
  <si>
    <t>O Sons and Daughters of the King</t>
  </si>
  <si>
    <t>1 of 6 ‡</t>
  </si>
  <si>
    <t>8 of 10</t>
  </si>
  <si>
    <t>Eckardt, The Lutheran Propers; Gehrke; LCMS Synod selections (2016-17); Lutheran Service Book (2006); Lutheran Worship (1982); Reuning; Stuckwisch (sword-in-hat list); Zion</t>
  </si>
  <si>
    <t>Easter 2 (Misericordias Domini)</t>
  </si>
  <si>
    <t>Der Herr ist mein getreuer Hirt</t>
  </si>
  <si>
    <t>The Lord is my faithful shepherd</t>
  </si>
  <si>
    <t>11 of 14</t>
  </si>
  <si>
    <t>1 of 9</t>
  </si>
  <si>
    <t>Verzage nicht, du Häuflein klein</t>
  </si>
  <si>
    <t>Despair not, thou little flock</t>
  </si>
  <si>
    <t>O Little Flock, Fear Not the Foe</t>
  </si>
  <si>
    <t>Judisch; Redeemer; Reuning</t>
  </si>
  <si>
    <t>Easter 3 (Jubilate)</t>
  </si>
  <si>
    <t>Mit Freuden zart</t>
  </si>
  <si>
    <t>With tender joy</t>
  </si>
  <si>
    <t>With High Delight Let Us Unite</t>
  </si>
  <si>
    <t>0 of 13</t>
  </si>
  <si>
    <t>Krusemark, Years A, B and C; LCMS Synod selections (2016-17); Lutheran Service Book (2006); Redeemer; Reuning; SELK hymnal; Stuckwisch (sword-in-hat list)</t>
  </si>
  <si>
    <t>Hymnum canamus gloriae</t>
  </si>
  <si>
    <t>Let us sing a hymn of glory</t>
  </si>
  <si>
    <t>A Hymn of Glory Let Us Sing</t>
  </si>
  <si>
    <t>0 of 23</t>
  </si>
  <si>
    <t>Krusemark, Years A, B and C; Redeemer; Reuning</t>
  </si>
  <si>
    <t>Sunday after Ascension (Exaudi)</t>
  </si>
  <si>
    <t>Wir danken dir, Herr Jesu Christ</t>
  </si>
  <si>
    <t>We thank thee, Lord Jesus Christ</t>
  </si>
  <si>
    <t>We Thank Thee Jesus Dearest Friend</t>
  </si>
  <si>
    <t>Judisch; Redeemer; Reuning; SELK hymnal</t>
  </si>
  <si>
    <t>0 of 19</t>
  </si>
  <si>
    <t>Trinity 2</t>
  </si>
  <si>
    <t>13 of 22</t>
  </si>
  <si>
    <t>Trinity 3</t>
  </si>
  <si>
    <t>12 of 19</t>
  </si>
  <si>
    <t>Allein zu dir, Herr Jesu Christ</t>
  </si>
  <si>
    <t>In thee alone, Lord Jesus Christ</t>
  </si>
  <si>
    <t>In Thee Alone, O Christ, My Lord</t>
  </si>
  <si>
    <t>8 of 19</t>
  </si>
  <si>
    <t>Herr, ich habe missgehandelt</t>
  </si>
  <si>
    <t>Lord, I have done amiss</t>
  </si>
  <si>
    <t>Lord, to You I Make Confession</t>
  </si>
  <si>
    <t>LCMS Synod selections (2016-17); Lutheran Service Book (2006); Redeemer; Reuning; Stuckwisch (sword-in-hat list)</t>
  </si>
  <si>
    <t>Trinity 4</t>
  </si>
  <si>
    <t>0 of 21</t>
  </si>
  <si>
    <t>Auf meinen lieben Gott</t>
  </si>
  <si>
    <t>In my dear God</t>
  </si>
  <si>
    <t>In God, My Faithful God</t>
  </si>
  <si>
    <t>Trinity 5</t>
  </si>
  <si>
    <t>Mir nach, spricht Christus, unser Held</t>
  </si>
  <si>
    <t>After me, says Christ, our hero</t>
  </si>
  <si>
    <t>Come, Follow Me, the Savior Spake</t>
  </si>
  <si>
    <t>0 of 20</t>
  </si>
  <si>
    <t>7 of 12</t>
  </si>
  <si>
    <t>Gehrke; LCMS Synod selections (2016-17); Lutheran Service Book (2006); Lutheran Worship (1982); Reuning; Stuckwisch (sword-in-hat list); Zion</t>
  </si>
  <si>
    <t>Wer nur den lieben Gott lässt walten</t>
  </si>
  <si>
    <t>Whoever lets only the dear God rule</t>
  </si>
  <si>
    <t>If Thou But Trust in God to Guide Thee</t>
  </si>
  <si>
    <t>1 of 20</t>
  </si>
  <si>
    <t>1 of 11</t>
  </si>
  <si>
    <t>Trinity 7</t>
  </si>
  <si>
    <t>Du Lebensbrot, Herr Jesu Christ</t>
  </si>
  <si>
    <t>Thou bread of life, Lord Jesus Christ</t>
  </si>
  <si>
    <t>Lord Jesus Christ, Life-Giving Bread</t>
  </si>
  <si>
    <t>Eckardt, The Lutheran Propers; Redeemer; Reuning</t>
  </si>
  <si>
    <t>Trinity 8</t>
  </si>
  <si>
    <t>0 of 22</t>
  </si>
  <si>
    <t>Zeuch ein zu deinen Toren</t>
  </si>
  <si>
    <t>Enter in at thy gates</t>
  </si>
  <si>
    <t>Oh Enter Lord Thy Temple</t>
  </si>
  <si>
    <t>Trinity 9</t>
  </si>
  <si>
    <t>Was frag ich nach der Welt</t>
  </si>
  <si>
    <t>What do I care for the world</t>
  </si>
  <si>
    <t>What Is the World to Me</t>
  </si>
  <si>
    <t>2 of 21</t>
  </si>
  <si>
    <t>Krusemark, Years A, B and C; LCMS Synod selections (2016-17); Lutheran Service Book (2006); Redeemer; Reuning; Stuckwisch (sword-in-hat list)</t>
  </si>
  <si>
    <t>One Thing's Needful Lord This Treasure</t>
  </si>
  <si>
    <t>Trinity 11</t>
  </si>
  <si>
    <t>12 of 22</t>
  </si>
  <si>
    <t>Trinity 12</t>
  </si>
  <si>
    <t>Nun lob, mein Seel, den Herren</t>
  </si>
  <si>
    <t>Now praise the Lord, my soul</t>
  </si>
  <si>
    <t>My Soul, Now Praise Thy Maker</t>
  </si>
  <si>
    <t>Gehrke; Krusemark, Years A, B and C; Lutheran Worship (1982); Redeemer; Reuning; SELK hymnal; Zion</t>
  </si>
  <si>
    <t>Trinity 16</t>
  </si>
  <si>
    <t>Was mein Gott will, das gscheh allzeit</t>
  </si>
  <si>
    <t>What my God wills, may that be done always</t>
  </si>
  <si>
    <t>The Will of God Is Always Best</t>
  </si>
  <si>
    <t>Trinity 18</t>
  </si>
  <si>
    <t>Ich will dich lieben, meine Stärke</t>
  </si>
  <si>
    <t>I will love thee, my strength</t>
  </si>
  <si>
    <t>Thee Will I Love, My Strength, My Tower</t>
  </si>
  <si>
    <t>LCMS Synod selections (2016-17); Lutheran Service Book (2006); Stuckwisch (sword-in-hat list); Zion</t>
  </si>
  <si>
    <t>Trinity 19</t>
  </si>
  <si>
    <t>Sollt ich meinem Gott nicht singen</t>
  </si>
  <si>
    <t>Should I not sing to my God</t>
  </si>
  <si>
    <t>I Will Sing My Maker's Praises</t>
  </si>
  <si>
    <t>Lutheran Worship (1982); Redeemer; Reuning</t>
  </si>
  <si>
    <t>Trinity 21</t>
  </si>
  <si>
    <t>SD (private scheme)</t>
  </si>
  <si>
    <t>Trinity 22</t>
  </si>
  <si>
    <t>Wir danken dir, o treuer Gott</t>
  </si>
  <si>
    <t>We thank thee, O faithful God</t>
  </si>
  <si>
    <t>O Faithful God Thanks Be to Thee</t>
  </si>
  <si>
    <t>5 of 9</t>
  </si>
  <si>
    <t>Gehrke; Other (unattributed); Redeemer; Reuning; Zion</t>
  </si>
  <si>
    <t>Trinity 23</t>
  </si>
  <si>
    <t>In dich hab ich gehoffet, Herr</t>
  </si>
  <si>
    <t>In thee have I hoped, Lord</t>
  </si>
  <si>
    <t>In Thee, Lord, Have I Put My Trust</t>
  </si>
  <si>
    <t>1 of 18</t>
  </si>
  <si>
    <t>Gehrke; Other (unattributed); Redeemer; Reuning; SELK hymnal; Zion</t>
  </si>
  <si>
    <t>Wer Gott vertraut, hat wohl gebaut</t>
  </si>
  <si>
    <t>Whoever trusts God has built well</t>
  </si>
  <si>
    <t>Who Trusts in God a Strong Abode</t>
  </si>
  <si>
    <t>Trinity 24</t>
  </si>
  <si>
    <t>Trinity 25–27 (the last Sundays)</t>
  </si>
  <si>
    <t>Valet will ich dir geben</t>
  </si>
  <si>
    <t>Farewell will I bid thee</t>
  </si>
  <si>
    <t>Farewell I Gladly Bid Thee</t>
  </si>
  <si>
    <t>St John the Baptist (24 June)</t>
  </si>
  <si>
    <t>Es war die ganze Welt</t>
  </si>
  <si>
    <t>The whole world was</t>
  </si>
  <si>
    <t>When All the World was Cursed</t>
  </si>
  <si>
    <t>Eckardt, The Lutheran Propers; Gehrke; Judisch; LSB Hymnal Committee; Reuning; Stuckwisch (sword-in-hat list); Zion</t>
  </si>
  <si>
    <t>St Peter and St Paul (29 June)</t>
  </si>
  <si>
    <t>O Jesu, einig wahres Haupt</t>
  </si>
  <si>
    <t>O Jesus, only true head</t>
  </si>
  <si>
    <t>Lord Jesus Christ, the Church's Head</t>
  </si>
  <si>
    <t>4 of 6</t>
  </si>
  <si>
    <t>Krusemark, Years A, B and C; LSB Hymnal Committee; Stuckwisch (sword-in-hat list); Zion</t>
  </si>
  <si>
    <t>Visitation of Mary (2 July)</t>
  </si>
  <si>
    <t>6 of 8</t>
  </si>
  <si>
    <t>All Saints (1 Nov)</t>
  </si>
  <si>
    <t>O wie selig seid ihr doch, ihr Frommen</t>
  </si>
  <si>
    <t>O how blessed are ye, ye godly</t>
  </si>
  <si>
    <t>Oh How Blest Are Ye Whose Toils Are Ended</t>
  </si>
  <si>
    <t>Other (unattributed); Reuning; Zion</t>
  </si>
  <si>
    <t>Holy Innocents (28 Dec)</t>
  </si>
  <si>
    <t>Salvete, flores martyrum</t>
  </si>
  <si>
    <t>Hail, flowers of the martyrs</t>
  </si>
  <si>
    <t>Sweet Flowerets of the Martyr Band</t>
  </si>
  <si>
    <t>LSB Hymnal Committee; Lutheran Service Book (2006); Redeemer; Reuning; Stuckwisch (sword-in-hat list); Zion</t>
  </si>
  <si>
    <t>The rows. The sheet repeats the table of Appendix 8.A.3 of LITURGICAL_AND_ECCLESIASTICAL_LIFE.md: the chief hymn of each Sunday and feast in the old sources, the church orders and hymnals of 1543–1694, Bach's Leipzig usage and the modern studies that collate them, chosen by the rules of 8.A.2. "Old witnesses" is the figure of 8.A.3: "20 of 23" means that 20 of the 23 old witnesses that give any hymn for the day give this one. ‡ marks the hymn the editor of the corpus assigns to a day the old witnesses leave open, and † a title from Matthew Carver's translation. To these rows are added the hymns that at least three modern sources give as the chief hymn of the day. "Shown for" says which: the old witnesses, the editor, the modern sources, or both.</t>
  </si>
  <si>
    <t>The modern sources. The modern witnesses of hymns.db (8.A.1), counted as 17 sources, Krusemark's Years A, B and C being one source: Eckardt, The Lutheran Propers, Gehrke, Judisch, Krusemark, Years A, B and C, LCMS Synod selections (2016-17), LSB Hymnal Committee, Lutheran Service Book (2006), Lutheran Worship (1982), MC (private scheme), Mecklenburg hymnal (1855), Other (unattributed), Redeemer, Reuning, SD (private scheme), SELK hymnal, Stuckwisch (sword-in-hat list), Zion. "Modern sources" gives how many of the modern sources that give any hymn for the day give this one, and "The modern sources" names them.</t>
  </si>
  <si>
    <t>One hymn, one row. A hymn the sources cite under different titles is counted once. Titles are joined when they lead to the same row of the Hymn Index (Hymn Index/hymnal.db), which keeps a hymn's translations together. On Lent 2, for example, five sources cite "Wenn wir in höchsten Nöten sein" and four "When in the hour of deepest need": nine sources give the one hymn. The rows of 8.A.3 keep the hymns as the book gives them.</t>
  </si>
  <si>
    <t>The days. The modern sources keep the days of the one-year lectionary, as the old table does. Christmas Eve, Midnight and Dawn count as Christmas Day; "Christmas 1" is the Sunday after Christmas and "Christmas 2" the Sunday after New Year; Trinity 25, 26 and 27 count together. Days that 8.A.3 does not have are added in their places where a hymn reaches three modern sources: the Baptism of Christ, the Transfiguration, Ash Wednesday, the Vigil of Pentecost, St Peter and St Paul, the Assumption, Reformation, All Saints and Holy Innocents. A dash means that no source of that kind keeps the day.</t>
  </si>
  <si>
    <t>The titles of the added hymns. A hymn that is in the book's lexicon keeps its original title, literal English and common English title, as in 8.A.3. For the others, the original comes from the Hymn Index (its German titles and its TLH and TLHy originals) in standard spelling, and the common English title is column A of the index. A hymn written in English has its English title as the original and "—" as the literal English. Three originals are not in the index and are added here: A Patre unigenitus, Mit Freuden zart, Hymnum canamus gloriae.</t>
  </si>
  <si>
    <t>A correction to the data. In hymns.db the last pages of Krusemark are filed under Thanksgiving: his notes on the lists (pp. 95–96), two pages that only list saints' days (pp. 98 and 100), and Holy Innocents (p. 99), whose heading his parser missed. Here p. 94 alone counts as Thanksgiving and p. 99 as Holy Innocents; the rest is left out. hymns.db itself is not changed.</t>
  </si>
  <si>
    <t>Spiritus Sancti gratia</t>
  </si>
  <si>
    <t>(Carver: The Holy Spirit did His grace)</t>
  </si>
  <si>
    <t>Veni maxime Spiritus</t>
  </si>
  <si>
    <t>(Carver: O Come, Thou Spirit over all most mighty)</t>
  </si>
  <si>
    <t>Blessed be the Lord God / Blest (Blessed) Be the God of Israel</t>
  </si>
  <si>
    <t>My Soul Now Magnifies the Lord / My Soul Doth Magnify the Lord</t>
  </si>
  <si>
    <t>(CSB: Shall we receive good at the hand of the Lord; Carver: If we have received good  at the hand of the LORD)</t>
  </si>
  <si>
    <t>930-931</t>
  </si>
  <si>
    <r>
      <rPr>
        <b/>
        <sz val="10"/>
        <rFont val="Arial"/>
        <family val="2"/>
      </rPr>
      <t>Canticles.</t>
    </r>
    <r>
      <rPr>
        <sz val="10"/>
        <rFont val="Arial"/>
        <family val="2"/>
      </rPr>
      <t xml:space="preserve"> The index lists a canticle wherever a hymnal prints it, so some canticles have more than one row. The table gives the following rows:
• </t>
    </r>
    <r>
      <rPr>
        <i/>
        <sz val="10"/>
        <rFont val="Arial"/>
        <family val="2"/>
      </rPr>
      <t>Te Deum</t>
    </r>
    <r>
      <rPr>
        <sz val="10"/>
        <rFont val="Arial"/>
        <family val="2"/>
      </rPr>
      <t xml:space="preserve">: "Te Deum laudamus", the row of LSB's Matins </t>
    </r>
    <r>
      <rPr>
        <i/>
        <sz val="10"/>
        <rFont val="Arial"/>
        <family val="2"/>
      </rPr>
      <t>Te Deum</t>
    </r>
    <r>
      <rPr>
        <sz val="10"/>
        <rFont val="Arial"/>
        <family val="2"/>
      </rPr>
      <t xml:space="preserve"> (p. 223) and of Luther's German </t>
    </r>
    <r>
      <rPr>
        <i/>
        <sz val="10"/>
        <rFont val="Arial"/>
        <family val="2"/>
      </rPr>
      <t>Te Deum</t>
    </r>
    <r>
      <rPr>
        <sz val="10"/>
        <rFont val="Arial"/>
        <family val="2"/>
      </rPr>
      <t xml:space="preserve">, "Herr Gott, dich loben wir" (KELG 337).
• </t>
    </r>
    <r>
      <rPr>
        <i/>
        <sz val="10"/>
        <rFont val="Arial"/>
        <family val="2"/>
      </rPr>
      <t>Nunc dimittis</t>
    </r>
    <r>
      <rPr>
        <sz val="10"/>
        <rFont val="Arial"/>
        <family val="2"/>
      </rPr>
      <t xml:space="preserve">: "Lord, Now You Let Your Servant", the canticle of TLH's communion service (p. 29) and of ELH. Luther's hymn on it, "Mit Fried und Freud ich fahr dahin", is "In Peace and Joy I Now Depart" (LSB 938, TLH 137).
• </t>
    </r>
    <r>
      <rPr>
        <i/>
        <sz val="10"/>
        <rFont val="Arial"/>
        <family val="2"/>
      </rPr>
      <t>Magnificat</t>
    </r>
    <r>
      <rPr>
        <sz val="10"/>
        <rFont val="Arial"/>
        <family val="2"/>
      </rPr>
      <t xml:space="preserve">: "My Soul Now Magnifies the Lord" (LSB 934, TLH 275), "My soul doth magnify the Lord" (ELHB 572), and "Magnificat" (HS'98 803).
• </t>
    </r>
    <r>
      <rPr>
        <i/>
        <sz val="10"/>
        <rFont val="Arial"/>
        <family val="2"/>
      </rPr>
      <t>Benedicite</t>
    </r>
    <r>
      <rPr>
        <sz val="10"/>
        <rFont val="Arial"/>
        <family val="2"/>
      </rPr>
      <t xml:space="preserve">: "All You Works of God, Bless the Lord" (LSB 930), "All You Works of the Lord" (LSB 931, LW 9).
• </t>
    </r>
    <r>
      <rPr>
        <i/>
        <sz val="10"/>
        <rFont val="Arial"/>
        <family val="2"/>
      </rPr>
      <t>Venite</t>
    </r>
    <r>
      <rPr>
        <sz val="10"/>
        <rFont val="Arial"/>
        <family val="2"/>
      </rPr>
      <t xml:space="preserve"> (Psalm 95): only ELHB 575, "O come let us sing".
• </t>
    </r>
    <r>
      <rPr>
        <i/>
        <sz val="10"/>
        <rFont val="Arial"/>
        <family val="2"/>
      </rPr>
      <t>Benedictus</t>
    </r>
    <r>
      <rPr>
        <sz val="10"/>
        <rFont val="Arial"/>
        <family val="2"/>
      </rPr>
      <t>: "Blessed be the Lord God" (ELHB 570), "Blessed Be the God of Israel" (CW'21 954), and "Blest Be the God of Israel" (KELG 152, CW'93 275).</t>
    </r>
  </si>
  <si>
    <t>Victimae paschali laudes</t>
  </si>
  <si>
    <t>Christians, to the Paschal Victim / Christ the Lord is Risen Today; Alleluia</t>
  </si>
  <si>
    <t>10, 137</t>
  </si>
  <si>
    <t>460, 463</t>
  </si>
  <si>
    <t>137, 128</t>
  </si>
  <si>
    <t>202, 203</t>
  </si>
  <si>
    <t xml:space="preserve"> HYMN TITLE</t>
  </si>
  <si>
    <t>Text</t>
  </si>
  <si>
    <t>KELG/ELGBS German Title</t>
  </si>
  <si>
    <t>Original Title</t>
  </si>
  <si>
    <t>Original Language</t>
  </si>
  <si>
    <t>Other English Title</t>
  </si>
  <si>
    <t>Other English Source</t>
  </si>
  <si>
    <t>Alternative English Title 1</t>
  </si>
  <si>
    <t>Alternative English Title 2</t>
  </si>
  <si>
    <t>Alternative English Title 3</t>
  </si>
  <si>
    <t>Alternative English Title 4</t>
  </si>
  <si>
    <t>Alternative English Title 5</t>
  </si>
  <si>
    <t>A Lamb Goes Uncomplaining Forth</t>
  </si>
  <si>
    <t>Isaiah 53:1-12</t>
  </si>
  <si>
    <t>Ein lämmlein geht und trägt die schuld</t>
  </si>
  <si>
    <t>A Lamb alone bears willingly</t>
  </si>
  <si>
    <t>A Mighty Fortress Is Our God</t>
  </si>
  <si>
    <t>Psalm 46:1, 7, 11</t>
  </si>
  <si>
    <t>297, 298</t>
  </si>
  <si>
    <t>656-657</t>
  </si>
  <si>
    <t>250, 251</t>
  </si>
  <si>
    <t>863, 864</t>
  </si>
  <si>
    <t>200, 201</t>
  </si>
  <si>
    <t>228, 229</t>
  </si>
  <si>
    <t>Ein' feste burg ist unser Gott</t>
  </si>
  <si>
    <t>Abide, O Dearest Jesus</t>
  </si>
  <si>
    <t>Luke 24:29</t>
  </si>
  <si>
    <t>Ach! bleib mit deiner gnade</t>
  </si>
  <si>
    <t>Abide in Grace O Jesus</t>
  </si>
  <si>
    <t>Abide with Us Our Savior</t>
  </si>
  <si>
    <t>All My Heart Again Rejoices</t>
  </si>
  <si>
    <t>Luke 2:8-14; Luke 2:11</t>
  </si>
  <si>
    <t>Fröhlich soll mein herze springen</t>
  </si>
  <si>
    <t>All My Heart Sings and Rejoices</t>
  </si>
  <si>
    <t>All My Heart This Night Rejoices</t>
  </si>
  <si>
    <t>Once Again My Heart Rejoices</t>
  </si>
  <si>
    <t>Blessed Jesus, at Your Word</t>
  </si>
  <si>
    <t>John 6:63-68; Luke 11:28</t>
  </si>
  <si>
    <t>Liebster Jesu! Wir sind hier</t>
  </si>
  <si>
    <t>Blessed Jesus at Thy Word</t>
  </si>
  <si>
    <t>Dearest Jesus At Your Word</t>
  </si>
  <si>
    <t>Christ, the Life of All the Living</t>
  </si>
  <si>
    <t>Matt. 27:33-46</t>
  </si>
  <si>
    <t>333, 336</t>
  </si>
  <si>
    <t>Jesu, meines lebens leben!</t>
  </si>
  <si>
    <t>Of my Life the Life O Jesus</t>
  </si>
  <si>
    <t>Dearest Jesus, We Are Here</t>
  </si>
  <si>
    <t>Mark 10:13-16</t>
  </si>
  <si>
    <t>Liebster Jesu! wir sind hier</t>
  </si>
  <si>
    <t>Blessed Jesus, here we stand</t>
  </si>
  <si>
    <t>Draw Us to Thee</t>
  </si>
  <si>
    <t>John 6:44-45; Song of Songs 1:4</t>
  </si>
  <si>
    <t>Zeuch uns nach dir</t>
  </si>
  <si>
    <t>Draw Us to Thee in Mind and Heart</t>
  </si>
  <si>
    <t>Draw Us to You</t>
  </si>
  <si>
    <t>For Me to Live Is Jesus</t>
  </si>
  <si>
    <t>Phil. 1:20-23</t>
  </si>
  <si>
    <t>Christus der ist mein leben</t>
  </si>
  <si>
    <t>My life is hid in Jesus</t>
  </si>
  <si>
    <t>From God can Nothing Move Me</t>
  </si>
  <si>
    <t>Rom. 8:38-39; Joshua 24:16</t>
  </si>
  <si>
    <t>Von Gott will ich nicht lassen</t>
  </si>
  <si>
    <t>From God Shall Naught Divide Me</t>
  </si>
  <si>
    <t>My God Will Never Leave Me</t>
  </si>
  <si>
    <t>From Heaven Above to Earth I Come</t>
  </si>
  <si>
    <t>Luke 2:10-20; Luke 2:1-20</t>
  </si>
  <si>
    <t>37, 38</t>
  </si>
  <si>
    <t>123-124</t>
  </si>
  <si>
    <t>Vom himmel hoch da komm ich herr</t>
  </si>
  <si>
    <t>Welcome to Earth O Noble Guest</t>
  </si>
  <si>
    <t>From Heaven High I Come to Earth</t>
  </si>
  <si>
    <t>If God Himself Be For Me</t>
  </si>
  <si>
    <t>Rom. 8:31-39</t>
  </si>
  <si>
    <t>Ist Gott für mich, so trete</t>
  </si>
  <si>
    <t>Jesus Christ, My Sure Defense</t>
  </si>
  <si>
    <t>1 Cor. 15:34-58</t>
  </si>
  <si>
    <t>Jesus, meine zuversicht</t>
  </si>
  <si>
    <t>Jesus Sinners Doth Receive</t>
  </si>
  <si>
    <t>Luke 15:2-4</t>
  </si>
  <si>
    <t>609, 974</t>
  </si>
  <si>
    <t>Jesus nimmt die sünder an!</t>
  </si>
  <si>
    <t>Jesus Sinners Does Receive</t>
  </si>
  <si>
    <t>Jesus Sinners Will Receive</t>
  </si>
  <si>
    <t>Jesus, Grant that Balm and Healing</t>
  </si>
  <si>
    <t>Isaiah 53:4-5; 1 Peter 2:24</t>
  </si>
  <si>
    <t>Jesu! Deine heil'ge wunden</t>
  </si>
  <si>
    <t>Grant Lord Jesus that My Healing</t>
  </si>
  <si>
    <t>O What Precious Balm and Healing</t>
  </si>
  <si>
    <t>Jesus, Lead Thou On</t>
  </si>
  <si>
    <t>Luke 12:32; Luke 5:11</t>
  </si>
  <si>
    <t>Jesu, geh voran</t>
  </si>
  <si>
    <t>Jesus Lead Us On</t>
  </si>
  <si>
    <t>Jesus Still Lead On</t>
  </si>
  <si>
    <t>Jesus, Priceless Treasure</t>
  </si>
  <si>
    <t>1 Peter 1:18-19</t>
  </si>
  <si>
    <t>263-264</t>
  </si>
  <si>
    <t>457-458</t>
  </si>
  <si>
    <t>Jesu, meine freunde</t>
  </si>
  <si>
    <t>Jesus, Thy Boundless Love to Me</t>
  </si>
  <si>
    <t>Eph. 3:16-21; John 14:15</t>
  </si>
  <si>
    <t>O Jesu Christ, mein schönstes licht!</t>
  </si>
  <si>
    <t>Jesus Your Boundless Love so True</t>
  </si>
  <si>
    <t>Jesus Your Boundless Love to Me</t>
  </si>
  <si>
    <t>O Jesus Christ, my fairest Light</t>
  </si>
  <si>
    <t>Let Me Be Thine Forever</t>
  </si>
  <si>
    <t>Psalm 119:10; Rom. 6:16</t>
  </si>
  <si>
    <t>Laß mich dein sein und bleiben</t>
  </si>
  <si>
    <t>Let Me Be Yours Forever</t>
  </si>
  <si>
    <t>Lift Up Your Heads, Ye Mighty Gates</t>
  </si>
  <si>
    <t>Psalm 24:7-10; Psalm 24</t>
  </si>
  <si>
    <t>23, 24</t>
  </si>
  <si>
    <t>340-341</t>
  </si>
  <si>
    <t>91-92</t>
  </si>
  <si>
    <t>305-306</t>
  </si>
  <si>
    <t>3-4</t>
  </si>
  <si>
    <t>Macht hoch die thür, die thor' macht weit</t>
  </si>
  <si>
    <t>Fling Wide the Door Unbar the Gate</t>
  </si>
  <si>
    <t>Lift Up Your Heads You Mighty Gates</t>
  </si>
  <si>
    <t>Lord God, to Thee We Give All Praise</t>
  </si>
  <si>
    <t>Matt. 18:10; Heb. 1:14</t>
  </si>
  <si>
    <t>Herr Gott, dich loben alle wir</t>
  </si>
  <si>
    <t>Lord God to You We All Give Praise</t>
  </si>
  <si>
    <t>Lord God We All to Thee Give Praise</t>
  </si>
  <si>
    <t>Lord God, to You We Give All Praise</t>
  </si>
  <si>
    <t>Our thanks and praise to Thee be given</t>
  </si>
  <si>
    <t>Lord Jesus Christ, Be Present Now</t>
  </si>
  <si>
    <t>Psalm 43:3-4</t>
  </si>
  <si>
    <t>Herr Jesu Christ! dich zu uns wend'</t>
  </si>
  <si>
    <t>Lord Jesus Christ, to us attend</t>
  </si>
  <si>
    <t>Lord Jesus Christ, with Us Abide</t>
  </si>
  <si>
    <t>Ach! bleib bei uns, Herr Jesu Christ!</t>
  </si>
  <si>
    <t>Lord Jesus Christ Will You not Stay</t>
  </si>
  <si>
    <t>Lord, Thee I Love with All My Heart</t>
  </si>
  <si>
    <t>1 John 4:19; Psalm 18</t>
  </si>
  <si>
    <t>Herzlich lieb hab' ich dich, o Herr!</t>
  </si>
  <si>
    <t>Lord You I Love with All My Heart</t>
  </si>
  <si>
    <t>With all my heart I love Thee, Lord</t>
  </si>
  <si>
    <t>O Lord, I love Thee from my heart</t>
  </si>
  <si>
    <t>Now Rest Beneath Night's Shadow</t>
  </si>
  <si>
    <t>Psalm 4:8; 91:4</t>
  </si>
  <si>
    <t>Nun ruhen alle wälder</t>
  </si>
  <si>
    <t>Now Thank We All Our God</t>
  </si>
  <si>
    <t>Psalm 107:21-22; Eccl. 50:22-24</t>
  </si>
  <si>
    <t>597-598</t>
  </si>
  <si>
    <t>533, 534</t>
  </si>
  <si>
    <t>Nun danket alle Gott</t>
  </si>
  <si>
    <t>O Christ, Our True and Only Light</t>
  </si>
  <si>
    <t>Isaiah 60:1-3; Luke 1:79</t>
  </si>
  <si>
    <t>O Jesu Christe, wahres licht!</t>
  </si>
  <si>
    <t>O Christ Our Light O Radiance True</t>
  </si>
  <si>
    <t>O Darkest Woe</t>
  </si>
  <si>
    <t>Matt. 27:57-60; Acts 3:15</t>
  </si>
  <si>
    <t>O traurigkeit! O herzeleid!</t>
  </si>
  <si>
    <t>O Dearest Jesus, What Law Hast Thou Broken</t>
  </si>
  <si>
    <t>Luke 23:20-24</t>
  </si>
  <si>
    <t>Herzliebster Jesu! Was hast du verbrochen</t>
  </si>
  <si>
    <t>Ah Holy Jesus How Hast Thou Offended</t>
  </si>
  <si>
    <t>O Dearest Jesus, What Law Have You Broken</t>
  </si>
  <si>
    <t>Beloved Jesus, what law hast Thou broken</t>
  </si>
  <si>
    <t>O God, My Faithful God</t>
  </si>
  <si>
    <t>1 John 5:14-15; 1 Kings 3:5</t>
  </si>
  <si>
    <t>O Gott, du frommer Gott</t>
  </si>
  <si>
    <t>O God Thou Faithful God</t>
  </si>
  <si>
    <t>O Holy Spirit, Enter In</t>
  </si>
  <si>
    <t>1 Cor. 3:16</t>
  </si>
  <si>
    <t>O heil'ger Geist, kehr bei uns ein</t>
  </si>
  <si>
    <t>O Lord How Shall I Meet You</t>
  </si>
  <si>
    <t>Matt. 21:1-9</t>
  </si>
  <si>
    <t>18-19</t>
  </si>
  <si>
    <t>Wie soll ich dich empfangen</t>
  </si>
  <si>
    <t>O How Shall I Receive Thee</t>
  </si>
  <si>
    <t>O Lord How Shall I Meet Thee</t>
  </si>
  <si>
    <t>Gott sei gelobet und gebenedeiet</t>
  </si>
  <si>
    <t>O Morning Star, How Fair and Bright</t>
  </si>
  <si>
    <t>Rev. 22:16; Lam. 3:22, 23</t>
  </si>
  <si>
    <t>261, 305, 463</t>
  </si>
  <si>
    <t>24, 103</t>
  </si>
  <si>
    <t>343, 546</t>
  </si>
  <si>
    <t>Wie schön leuchtet der morgenstern / Wie schön leucht't uns der morgenstern / Wie schön leuchtet der Morgenstern</t>
  </si>
  <si>
    <t>How Lovely Shines the Morning Star</t>
  </si>
  <si>
    <t>The Morning Star upon us gleams</t>
  </si>
  <si>
    <t>How lovely now the morning star</t>
  </si>
  <si>
    <t>O Sacred Head, Now Wounded</t>
  </si>
  <si>
    <t>Psalm 22:6-8</t>
  </si>
  <si>
    <t>449-450</t>
  </si>
  <si>
    <t>334, 335</t>
  </si>
  <si>
    <t>428-429</t>
  </si>
  <si>
    <t>O haupt voll blut und wunden</t>
  </si>
  <si>
    <t>O bleeding Head, and wounded</t>
  </si>
  <si>
    <t xml:space="preserve">Oh That I Had a Thousand Voices </t>
  </si>
  <si>
    <t>Psalm 148:1</t>
  </si>
  <si>
    <t>30, 243</t>
  </si>
  <si>
    <t>10, 443</t>
  </si>
  <si>
    <t>484, 503</t>
  </si>
  <si>
    <t>194, 242</t>
  </si>
  <si>
    <t>O! daß ich tausend zungen hätte</t>
  </si>
  <si>
    <t>I praise Thee, O my God and Father</t>
  </si>
  <si>
    <t>O would, my God, that I could praise Thee</t>
  </si>
  <si>
    <t>Luke 10:42</t>
  </si>
  <si>
    <t>Eins ist Noth!</t>
  </si>
  <si>
    <t>One Thing Needful</t>
  </si>
  <si>
    <t>One thing's needful! then, Lord Jesus</t>
  </si>
  <si>
    <t>Praise to the Lord, the Almighty</t>
  </si>
  <si>
    <t>1 Chron. 16:23-26</t>
  </si>
  <si>
    <t>Lobe den Herren, den mächtigen könig der ehren</t>
  </si>
  <si>
    <t>Sing Praise to God, the Highest Good</t>
  </si>
  <si>
    <t>Deut. 32:3</t>
  </si>
  <si>
    <t>Sei lob und ehr' dem höchsten gut</t>
  </si>
  <si>
    <t>All Praise to God Who Reigns Above</t>
  </si>
  <si>
    <t>Sing praise to God who reigns above</t>
  </si>
  <si>
    <t>To God the Father of all love</t>
  </si>
  <si>
    <t>Soul, Adorn Yourself with Gladness</t>
  </si>
  <si>
    <t>Isaiah 61:10; Rev. 19:8</t>
  </si>
  <si>
    <t>Schmücke dich, o liebe seele!</t>
  </si>
  <si>
    <t>Soul Adorn Thyself with Gladness</t>
  </si>
  <si>
    <t>Deck thyself my soul with gladness</t>
  </si>
  <si>
    <t>Upon the Cross Extended</t>
  </si>
  <si>
    <t>Isaiah 53</t>
  </si>
  <si>
    <t>120-121</t>
  </si>
  <si>
    <t>O Welt! sieh hier dein leben</t>
  </si>
  <si>
    <t>O World! behold upon the tree</t>
  </si>
  <si>
    <t>See, world, thy Life assailed</t>
  </si>
  <si>
    <t>Wake, Awake, for Night is Flying</t>
  </si>
  <si>
    <t>Matt. 25:1-13</t>
  </si>
  <si>
    <t>436, 484</t>
  </si>
  <si>
    <t>Wachet auf! ruft uns die stimme / Wachet auf! ruft uns die Stimme</t>
  </si>
  <si>
    <t>We All Believe in One True God Father</t>
  </si>
  <si>
    <t>Apostle's Creed; Heb. 1:1-8</t>
  </si>
  <si>
    <t>Wir gläuben all' an einen Gott</t>
  </si>
  <si>
    <t>We All Believe in One True God</t>
  </si>
  <si>
    <t>What God Ordains Is Always Good</t>
  </si>
  <si>
    <t>Rom. 8:28; Deut. 32:4</t>
  </si>
  <si>
    <t>844-845</t>
  </si>
  <si>
    <t>Was Gott thut, das ist wohlgethan</t>
  </si>
  <si>
    <t>Whatever God Ordains is Right</t>
  </si>
  <si>
    <t>Whatever God ordains is good</t>
  </si>
  <si>
    <t>When in the Hour of Deepest Need</t>
  </si>
  <si>
    <t>Psalm 102:1-2; 2 Chron. 20:12</t>
  </si>
  <si>
    <t>Wenn wir in höchsten nöthen sein</t>
  </si>
  <si>
    <t>When in the Hour of Utmost Need</t>
  </si>
  <si>
    <t>Why Should Cross and Trial Grieve Me</t>
  </si>
  <si>
    <t>1 Peter 1:6-9; Psalm 73:23</t>
  </si>
  <si>
    <t>Warum sollt' ich mich denn grämen?</t>
  </si>
  <si>
    <t>When I Suffer Pains and Losses</t>
  </si>
  <si>
    <t>Why, my soul, thus trembling ever</t>
  </si>
  <si>
    <t>Why should sorrow ever grieve me</t>
  </si>
  <si>
    <t>157a, 157b</t>
  </si>
  <si>
    <t>729, 730</t>
  </si>
  <si>
    <t>103, 104</t>
  </si>
  <si>
    <t>124, 125</t>
  </si>
  <si>
    <t>212, 213a, 213b</t>
  </si>
  <si>
    <t>470-471</t>
  </si>
  <si>
    <t>456-457</t>
  </si>
  <si>
    <t>Pange lingua gloriosi corporis mysterium</t>
  </si>
  <si>
    <t>Maundy Thursday</t>
  </si>
  <si>
    <t>Now, My Tongue, the Mystery Telling</t>
  </si>
  <si>
    <t>The Lord My Faithful Shepherd Is</t>
  </si>
  <si>
    <t>Christum wir sollen loben schon/ A solis ortus cardine</t>
  </si>
  <si>
    <t>Now Praise We Christ, the Holy One / From East to West, From Shore to Shore</t>
  </si>
  <si>
    <t>— (literally Let it resound with praises)</t>
  </si>
  <si>
    <t>Rejoice, Rejoice, Ye Christians Dear</t>
  </si>
  <si>
    <t>God Gave the Gospel That We May</t>
  </si>
  <si>
    <t>To God the Anthem Raising</t>
  </si>
  <si>
    <t>Jesus Christ, Our Savior and King</t>
  </si>
  <si>
    <t>5, 7</t>
  </si>
  <si>
    <t>Count</t>
  </si>
  <si>
    <t>Kyrie, Gott Vater in Ewigkeit / "Kyrie fons bonitatis"</t>
  </si>
  <si>
    <t>Allein Gott in der Höh sei Ehr</t>
  </si>
  <si>
    <t>All Ehr und Lob soll Gottes sein</t>
  </si>
  <si>
    <t>Wir glauben all an einen Gott</t>
  </si>
  <si>
    <t>Jesaia dem Propheten das geschah</t>
  </si>
  <si>
    <t>Vater unser im Himmelreich</t>
  </si>
  <si>
    <t>O Lamm Gottes unschuldig</t>
  </si>
  <si>
    <t>Komm, Heiliger Geist, Herre Gott</t>
  </si>
  <si>
    <t>Erbarm dich mein, o Herre Gott (Ps 51)</t>
  </si>
  <si>
    <t>Aus tiefer Not schrei ich zu dir (Ps 130)</t>
  </si>
  <si>
    <t>Ach Gott, vom Himmel sieh darein (Ps 12)</t>
  </si>
  <si>
    <t>Wär Gott nicht mit uns diese Zeit (Ps 124)</t>
  </si>
  <si>
    <t>Nun bitten wir den Heiligen Geist</t>
  </si>
  <si>
    <t>Erhalt uns, Herr, bei deinem Wort</t>
  </si>
  <si>
    <t>Es woll uns Gott genädig sein</t>
  </si>
  <si>
    <t>Gott der Vater wohn uns bei</t>
  </si>
  <si>
    <t>Jesus Christus, unser Heiland, der von uns den Gotteszorn wandt</t>
  </si>
  <si>
    <t>Verleih uns Frieden gnädiglich (Da pacem, Domine)</t>
  </si>
  <si>
    <t>Es ist das Heil uns kommen her</t>
  </si>
  <si>
    <t>Nunc dimittis</t>
  </si>
  <si>
    <t>Benedicite, omnia opera</t>
  </si>
  <si>
    <t>Nun komm, der Heiden Heiland</t>
  </si>
  <si>
    <t>Gelobet seist du, Jesu Christ</t>
  </si>
  <si>
    <t>Puer natus in Bethlehem</t>
  </si>
  <si>
    <t>In dulci jubilo</t>
  </si>
  <si>
    <t>Nunc angelorum gloria</t>
  </si>
  <si>
    <t>Joseph, lieber Joseph mein</t>
  </si>
  <si>
    <t>Christ lag in Todesbanden</t>
  </si>
  <si>
    <t>Christ ist erstanden</t>
  </si>
  <si>
    <t>Also heilig ist der Tag</t>
  </si>
  <si>
    <t>Surrexit Christus hodie</t>
  </si>
  <si>
    <t>Christ fuhr gen Himmel</t>
  </si>
  <si>
    <t>Psalm 95 (Venite)</t>
  </si>
  <si>
    <t>Benedictus Dominus Deus Israel</t>
  </si>
  <si>
    <t>Magnificat</t>
  </si>
  <si>
    <t>Mitten wir im Leben sind</t>
  </si>
  <si>
    <t>Dies sind die heilgen zehn Gebot</t>
  </si>
  <si>
    <t>Mensch, willst du leben seliglich</t>
  </si>
  <si>
    <t>Christ, unser Herr, zum Jordan kam</t>
  </si>
  <si>
    <t>So wahr ich leb, spricht Gott der Herr</t>
  </si>
  <si>
    <t>Durch Adams Fall ist ganz verderbt</t>
  </si>
  <si>
    <t>Herr, schaff uns wie die kleinen Kind</t>
  </si>
  <si>
    <t>Mit Fried und Freud ich fahr dahin</t>
  </si>
  <si>
    <t>Nun freut euch, lieben Christen gmein</t>
  </si>
  <si>
    <t>Nun lasst uns den Leib begraben</t>
  </si>
  <si>
    <t>Si bona suscepimus (responsory, Job 2:10) / Haben wir das Gute empfangen</t>
  </si>
  <si>
    <t>Iam maesta quiesce querela ("Jam moesta quiesce")</t>
  </si>
  <si>
    <t>Christe, qui lux es et dies / Christe, der du bist Tag und Licht</t>
  </si>
  <si>
    <t>Dies est laetitiae / Der Tag, der ist so freudenreich</t>
  </si>
  <si>
    <t>Verleih uns Frieden gnädiglich / Da pacem, Domine</t>
  </si>
  <si>
    <t>Veni Sancte Spiritus (the sequence) / Nun bitten wir</t>
  </si>
  <si>
    <t>Kyrie, Gott Vater in Ewigkeit / Kyrie fons bonitatis</t>
  </si>
  <si>
    <t>Ps 128: Wohl dem, der in Gottes Furcht steht</t>
  </si>
  <si>
    <t>Iam maesta quiesce querela (Jam moesta quiesce)</t>
  </si>
  <si>
    <t>Ps 124: Wo Gott der Herr nicht bei uns hält</t>
  </si>
  <si>
    <t>Methodology</t>
  </si>
  <si>
    <t>1) Occasional Hymns: Hymns consistently set for parts of the service or specific occasions or seasons in Emil Sehling's Church Order Corpus.</t>
  </si>
  <si>
    <t>3) Popular Hymns: If a hymn appeared in all hymnal/companion sets, it made the list. The following Hymnals were considered: KELG/WH + ELGBS/LPC, ELHB, TLH + WS'69 + WS'00 + TL, LW + HS'98, LSB, TLHy, ELH, CW'93 + CWS, CW'21</t>
  </si>
  <si>
    <t>2) Chief Hymns: All the Chief Hymn Tables in Emil Sehling's Church Order Corpus were consulted, along with several sources compiling later chief hymn lists from later in Lutheran orthodoxy, and modern chief hymn lists. For the non-modern sources, if a hymn had at least 3 witnesses, 3/5ths of the witnesses, and at least 1/4th of the witnesses list a day, the hymn made it. A few days had very scattered witnesses, with no more than 2 agreeing on the chief hymn for a day. In that case, I made an educated judgment call. For the modern sources, if a hymn had at least 3 witnesses, it made it.</t>
  </si>
  <si>
    <t>Note: If a hymn was of non-Lutheran origin, it got cut from the list. This included Ride on! ride on in majesty! (Palm Sunday); For all the Saints (All Saints); and Ye Watchers and Ye Holy Ones (Assumption)</t>
  </si>
  <si>
    <t>Compiled by Seth Kasten, 10/16/2026</t>
  </si>
  <si>
    <t>Hymns came from 3 sources:</t>
  </si>
  <si>
    <t>Note: If a hymn appeared in none of our Lutheran hymnals (KELG, LPC, ELHB, TLH, WS'69, LW, HS'98, LSB, TLHy, ELH, CW'93, CWS, CW'21, WS'00, TL, LBW, WOV, LH) then I removed it from the list. This included a handful of German metrical Psalms and some rarer German hymns in the old chief hymn lists. WOV did not have any of the hymns, so it was 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</si>
</sst>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Arial"/>
      <family val="2"/>
    </font>
    <font>
      <sz val="10"/>
      <name val="Arial"/>
      <family val="2"/>
    </font>
    <font>
      <i/>
      <sz val="10"/>
      <name val="Arial"/>
      <family val="2"/>
    </font>
    <font>
      <b/>
      <i/>
      <sz val="10"/>
      <name val="Arial"/>
      <family val="2"/>
    </font>
    <font>
      <sz val="10"/>
      <name val="Arial"/>
      <family val="2"/>
    </font>
    <font>
      <i/>
      <sz val="10"/>
      <name val="Arial"/>
      <family val="2"/>
    </font>
    <font>
      <b/>
      <sz val="10"/>
      <name val="Arial"/>
      <family val="2"/>
    </font>
    <font>
      <b/>
      <sz val="11"/>
      <color theme="1"/>
      <name val="Calibri"/>
      <family val="2"/>
      <scheme val="minor"/>
    </font>
  </fonts>
  <fills count="5">
    <fill>
      <patternFill patternType="none"/>
    </fill>
    <fill>
      <patternFill patternType="gray125"/>
    </fill>
    <fill>
      <patternFill patternType="solid">
        <fgColor rgb="FFD9D9D9"/>
      </patternFill>
    </fill>
    <fill>
      <patternFill patternType="solid">
        <fgColor rgb="FFD9D9D9"/>
      </patternFill>
    </fill>
    <fill>
      <patternFill patternType="solid">
        <fgColor rgb="FFFFFF00"/>
        <bgColor indexed="64"/>
      </patternFill>
    </fill>
  </fills>
  <borders count="6">
    <border>
      <left/>
      <right/>
      <top/>
      <bottom/>
      <diagonal/>
    </border>
    <border>
      <left/>
      <right/>
      <top/>
      <bottom style="thin">
        <color rgb="FF808080"/>
      </bottom>
      <diagonal/>
    </border>
    <border>
      <left/>
      <right/>
      <top/>
      <bottom style="thin">
        <color rgb="FF808080"/>
      </bottom>
      <diagonal/>
    </border>
    <border>
      <left/>
      <right/>
      <top style="thin">
        <color rgb="FFBFBFB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left" wrapText="1"/>
    </xf>
    <xf numFmtId="0" fontId="1" fillId="2" borderId="1" xfId="0" applyFont="1" applyFill="1" applyBorder="1" applyAlignment="1">
      <alignment horizontal="center" wrapText="1"/>
    </xf>
    <xf numFmtId="0" fontId="1" fillId="0" borderId="0" xfId="0" applyFont="1"/>
    <xf numFmtId="0" fontId="2" fillId="0" borderId="0" xfId="0" applyFont="1" applyAlignment="1">
      <alignment horizontal="left" vertical="top" wrapText="1"/>
    </xf>
    <xf numFmtId="0" fontId="2"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lef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center" vertical="top"/>
    </xf>
    <xf numFmtId="0" fontId="1" fillId="3" borderId="2" xfId="0" applyFont="1" applyFill="1" applyBorder="1" applyAlignment="1">
      <alignment horizontal="left" wrapText="1"/>
    </xf>
    <xf numFmtId="0" fontId="3" fillId="0" borderId="0" xfId="0" applyFont="1" applyAlignment="1">
      <alignment horizontal="left" vertical="top" wrapText="1"/>
    </xf>
    <xf numFmtId="0" fontId="1" fillId="0" borderId="3" xfId="0" applyFont="1" applyBorder="1" applyAlignment="1">
      <alignment horizontal="left" vertical="top"/>
    </xf>
    <xf numFmtId="0" fontId="2" fillId="0" borderId="3" xfId="0" applyFont="1" applyBorder="1" applyAlignment="1">
      <alignment horizontal="left" vertical="top" wrapText="1"/>
    </xf>
    <xf numFmtId="0" fontId="2" fillId="0" borderId="3" xfId="0" applyFont="1" applyBorder="1" applyAlignment="1">
      <alignment horizontal="center" vertical="top"/>
    </xf>
    <xf numFmtId="0" fontId="2" fillId="0" borderId="0" xfId="0" applyFont="1" applyAlignment="1">
      <alignment horizontal="left" vertical="top"/>
    </xf>
    <xf numFmtId="0" fontId="1" fillId="3" borderId="2" xfId="0" applyFont="1" applyFill="1" applyBorder="1"/>
    <xf numFmtId="0" fontId="7" fillId="0" borderId="0" xfId="0" applyFont="1" applyAlignment="1">
      <alignment horizontal="left" vertical="top"/>
    </xf>
    <xf numFmtId="0" fontId="6" fillId="0" borderId="3" xfId="0" applyFont="1" applyBorder="1" applyAlignment="1">
      <alignment horizontal="left" vertical="top" wrapText="1"/>
    </xf>
    <xf numFmtId="0" fontId="1" fillId="4" borderId="3" xfId="0" applyFont="1" applyFill="1" applyBorder="1" applyAlignment="1">
      <alignment horizontal="left" vertical="top"/>
    </xf>
    <xf numFmtId="0" fontId="7" fillId="4" borderId="0" xfId="0" applyFont="1" applyFill="1" applyAlignment="1">
      <alignment horizontal="left" vertical="top"/>
    </xf>
    <xf numFmtId="0" fontId="5" fillId="0" borderId="0" xfId="0" applyFont="1" applyAlignment="1">
      <alignment horizontal="left" vertical="top"/>
    </xf>
    <xf numFmtId="0" fontId="7" fillId="0" borderId="0" xfId="0" applyFont="1" applyAlignment="1">
      <alignment horizontal="left" vertical="top" wrapText="1"/>
    </xf>
    <xf numFmtId="0" fontId="2" fillId="0" borderId="0" xfId="0" applyFont="1" applyAlignment="1">
      <alignment horizontal="center"/>
    </xf>
    <xf numFmtId="0" fontId="7" fillId="2" borderId="4" xfId="0" applyFont="1" applyFill="1" applyBorder="1" applyAlignment="1">
      <alignment horizontal="center" wrapText="1"/>
    </xf>
    <xf numFmtId="0" fontId="1" fillId="2" borderId="4" xfId="0" applyFont="1" applyFill="1" applyBorder="1" applyAlignment="1">
      <alignment horizontal="center" wrapText="1"/>
    </xf>
    <xf numFmtId="0" fontId="7" fillId="3" borderId="5" xfId="0" applyFont="1" applyFill="1" applyBorder="1" applyAlignment="1">
      <alignment horizontal="center" wrapText="1"/>
    </xf>
    <xf numFmtId="0" fontId="7" fillId="2" borderId="1" xfId="0" applyFont="1" applyFill="1" applyBorder="1" applyAlignment="1">
      <alignment horizontal="left"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016E-18A5-4A7C-BD07-F1C2EA974721}">
  <dimension ref="A1:U116"/>
  <sheetViews>
    <sheetView topLeftCell="A70" workbookViewId="0">
      <selection activeCell="U15" sqref="U15"/>
    </sheetView>
  </sheetViews>
  <sheetFormatPr defaultRowHeight="14.5" x14ac:dyDescent="0.35"/>
  <cols>
    <col min="1" max="1" width="106.90625" bestFit="1" customWidth="1"/>
    <col min="2" max="2" width="58" customWidth="1"/>
  </cols>
  <sheetData>
    <row r="1" spans="1:21" x14ac:dyDescent="0.35">
      <c r="A1" s="27" t="s">
        <v>1</v>
      </c>
      <c r="B1" s="30" t="s">
        <v>1</v>
      </c>
      <c r="C1" s="28" t="s">
        <v>3</v>
      </c>
      <c r="D1" s="28" t="s">
        <v>4</v>
      </c>
      <c r="E1" s="28" t="s">
        <v>5</v>
      </c>
      <c r="F1" s="28" t="s">
        <v>6</v>
      </c>
      <c r="G1" s="28" t="s">
        <v>7</v>
      </c>
      <c r="H1" s="28" t="s">
        <v>8</v>
      </c>
      <c r="I1" s="28" t="s">
        <v>9</v>
      </c>
      <c r="J1" s="28" t="s">
        <v>10</v>
      </c>
      <c r="K1" s="28" t="s">
        <v>11</v>
      </c>
      <c r="L1" s="28" t="s">
        <v>12</v>
      </c>
      <c r="M1" s="28" t="s">
        <v>13</v>
      </c>
      <c r="N1" s="28" t="s">
        <v>14</v>
      </c>
      <c r="O1" s="28" t="s">
        <v>15</v>
      </c>
      <c r="P1" s="28" t="s">
        <v>16</v>
      </c>
      <c r="Q1" s="28" t="s">
        <v>17</v>
      </c>
      <c r="R1" s="28" t="s">
        <v>18</v>
      </c>
      <c r="S1" s="28" t="s">
        <v>19</v>
      </c>
      <c r="T1" s="28" t="s">
        <v>21</v>
      </c>
      <c r="U1" s="29" t="s">
        <v>922</v>
      </c>
    </row>
    <row r="2" spans="1:21" x14ac:dyDescent="0.35">
      <c r="A2" t="s">
        <v>24</v>
      </c>
      <c r="B2" s="10" t="s">
        <v>974</v>
      </c>
      <c r="C2">
        <v>1</v>
      </c>
      <c r="D2">
        <v>7</v>
      </c>
      <c r="G2">
        <v>6</v>
      </c>
      <c r="I2">
        <v>209</v>
      </c>
      <c r="K2">
        <v>942</v>
      </c>
      <c r="L2">
        <v>43</v>
      </c>
      <c r="M2">
        <v>34</v>
      </c>
      <c r="N2">
        <v>266</v>
      </c>
      <c r="P2">
        <v>934</v>
      </c>
      <c r="S2">
        <v>168</v>
      </c>
      <c r="U2">
        <f t="shared" ref="U2:U33" si="0">COUNT(D2:T2)</f>
        <v>9</v>
      </c>
    </row>
    <row r="3" spans="1:21" x14ac:dyDescent="0.35">
      <c r="A3" t="s">
        <v>27</v>
      </c>
      <c r="B3" s="10" t="s">
        <v>924</v>
      </c>
      <c r="D3">
        <v>1</v>
      </c>
      <c r="F3">
        <v>261</v>
      </c>
      <c r="G3">
        <v>237</v>
      </c>
      <c r="I3">
        <v>215</v>
      </c>
      <c r="K3">
        <v>947</v>
      </c>
      <c r="L3">
        <v>2</v>
      </c>
      <c r="M3">
        <v>35</v>
      </c>
      <c r="N3">
        <v>263</v>
      </c>
      <c r="P3">
        <v>935</v>
      </c>
      <c r="S3">
        <v>166</v>
      </c>
      <c r="U3">
        <f t="shared" si="0"/>
        <v>10</v>
      </c>
    </row>
    <row r="4" spans="1:21" x14ac:dyDescent="0.35">
      <c r="A4" t="s">
        <v>29</v>
      </c>
      <c r="B4" s="10" t="s">
        <v>925</v>
      </c>
      <c r="D4">
        <v>142</v>
      </c>
      <c r="G4">
        <v>238</v>
      </c>
      <c r="I4">
        <v>210</v>
      </c>
      <c r="K4">
        <v>948</v>
      </c>
      <c r="M4">
        <v>36</v>
      </c>
      <c r="N4">
        <v>262</v>
      </c>
      <c r="P4">
        <v>936</v>
      </c>
      <c r="U4">
        <f t="shared" si="0"/>
        <v>7</v>
      </c>
    </row>
    <row r="5" spans="1:21" x14ac:dyDescent="0.35">
      <c r="A5" t="s">
        <v>32</v>
      </c>
      <c r="B5" s="10" t="s">
        <v>926</v>
      </c>
      <c r="D5">
        <v>183</v>
      </c>
      <c r="F5">
        <v>394</v>
      </c>
      <c r="G5">
        <v>251</v>
      </c>
      <c r="I5">
        <v>213</v>
      </c>
      <c r="K5">
        <v>954</v>
      </c>
      <c r="L5">
        <v>71</v>
      </c>
      <c r="M5">
        <v>38</v>
      </c>
      <c r="N5">
        <v>270</v>
      </c>
      <c r="P5">
        <v>940</v>
      </c>
      <c r="R5">
        <v>237</v>
      </c>
      <c r="S5">
        <v>374</v>
      </c>
      <c r="U5">
        <f t="shared" si="0"/>
        <v>11</v>
      </c>
    </row>
    <row r="6" spans="1:21" x14ac:dyDescent="0.35">
      <c r="A6" t="s">
        <v>35</v>
      </c>
      <c r="B6" s="10" t="s">
        <v>927</v>
      </c>
      <c r="D6">
        <v>147</v>
      </c>
      <c r="G6">
        <v>249</v>
      </c>
      <c r="I6">
        <v>214</v>
      </c>
      <c r="K6">
        <v>960</v>
      </c>
      <c r="M6">
        <v>40</v>
      </c>
      <c r="N6">
        <v>267</v>
      </c>
      <c r="P6">
        <v>943</v>
      </c>
      <c r="R6">
        <v>240</v>
      </c>
      <c r="S6">
        <v>528</v>
      </c>
      <c r="U6">
        <f t="shared" si="0"/>
        <v>9</v>
      </c>
    </row>
    <row r="7" spans="1:21" x14ac:dyDescent="0.35">
      <c r="A7" t="s">
        <v>38</v>
      </c>
      <c r="B7" s="10" t="s">
        <v>928</v>
      </c>
      <c r="D7">
        <v>185</v>
      </c>
      <c r="F7">
        <v>396</v>
      </c>
      <c r="G7">
        <v>458</v>
      </c>
      <c r="I7" t="s">
        <v>39</v>
      </c>
      <c r="K7">
        <v>766</v>
      </c>
      <c r="L7">
        <v>359</v>
      </c>
      <c r="M7">
        <v>383</v>
      </c>
      <c r="N7">
        <v>410</v>
      </c>
      <c r="R7">
        <v>276</v>
      </c>
      <c r="U7">
        <f t="shared" si="0"/>
        <v>8</v>
      </c>
    </row>
    <row r="8" spans="1:21" x14ac:dyDescent="0.35">
      <c r="A8" t="s">
        <v>42</v>
      </c>
      <c r="B8" s="10" t="s">
        <v>929</v>
      </c>
      <c r="D8" t="s">
        <v>43</v>
      </c>
      <c r="F8">
        <v>203</v>
      </c>
      <c r="G8">
        <v>146</v>
      </c>
      <c r="I8">
        <v>208</v>
      </c>
      <c r="K8">
        <v>434</v>
      </c>
      <c r="L8">
        <v>147</v>
      </c>
      <c r="M8">
        <v>41</v>
      </c>
      <c r="N8">
        <v>268</v>
      </c>
      <c r="P8">
        <v>947</v>
      </c>
      <c r="S8">
        <v>111</v>
      </c>
      <c r="U8">
        <f t="shared" si="0"/>
        <v>9</v>
      </c>
    </row>
    <row r="9" spans="1:21" x14ac:dyDescent="0.35">
      <c r="A9" t="s">
        <v>47</v>
      </c>
      <c r="B9" s="10" t="s">
        <v>930</v>
      </c>
      <c r="D9">
        <v>134</v>
      </c>
      <c r="F9">
        <v>257</v>
      </c>
      <c r="G9">
        <v>224</v>
      </c>
      <c r="I9">
        <v>154</v>
      </c>
      <c r="K9">
        <v>497</v>
      </c>
      <c r="L9">
        <v>375</v>
      </c>
      <c r="M9">
        <v>2</v>
      </c>
      <c r="N9">
        <v>176</v>
      </c>
      <c r="P9">
        <v>585</v>
      </c>
      <c r="R9">
        <v>232</v>
      </c>
      <c r="S9">
        <v>163</v>
      </c>
      <c r="U9">
        <f t="shared" si="0"/>
        <v>11</v>
      </c>
    </row>
    <row r="10" spans="1:21" x14ac:dyDescent="0.35">
      <c r="A10" t="s">
        <v>49</v>
      </c>
      <c r="B10" s="10" t="s">
        <v>973</v>
      </c>
      <c r="G10">
        <v>227</v>
      </c>
      <c r="L10">
        <v>382</v>
      </c>
      <c r="M10">
        <v>11</v>
      </c>
      <c r="U10">
        <f t="shared" si="0"/>
        <v>3</v>
      </c>
    </row>
    <row r="11" spans="1:21" x14ac:dyDescent="0.35">
      <c r="A11" t="s">
        <v>51</v>
      </c>
      <c r="B11" s="10" t="s">
        <v>50</v>
      </c>
      <c r="G11">
        <v>233</v>
      </c>
      <c r="I11" t="s">
        <v>52</v>
      </c>
      <c r="K11" t="s">
        <v>53</v>
      </c>
      <c r="L11">
        <v>355</v>
      </c>
      <c r="M11" t="s">
        <v>54</v>
      </c>
      <c r="N11" t="s">
        <v>55</v>
      </c>
      <c r="P11">
        <v>586</v>
      </c>
      <c r="S11" t="s">
        <v>56</v>
      </c>
      <c r="T11">
        <v>48</v>
      </c>
      <c r="U11">
        <f t="shared" si="0"/>
        <v>4</v>
      </c>
    </row>
    <row r="12" spans="1:21" x14ac:dyDescent="0.35">
      <c r="A12" t="s">
        <v>64</v>
      </c>
      <c r="B12" s="10" t="s">
        <v>932</v>
      </c>
      <c r="D12">
        <v>214</v>
      </c>
      <c r="F12">
        <v>415</v>
      </c>
      <c r="G12">
        <v>329</v>
      </c>
      <c r="I12">
        <v>230</v>
      </c>
      <c r="K12">
        <v>607</v>
      </c>
      <c r="L12">
        <v>273</v>
      </c>
      <c r="M12">
        <v>452</v>
      </c>
      <c r="N12">
        <v>305</v>
      </c>
      <c r="P12">
        <v>650</v>
      </c>
      <c r="R12">
        <v>190</v>
      </c>
      <c r="S12">
        <v>295</v>
      </c>
      <c r="U12">
        <f t="shared" si="0"/>
        <v>11</v>
      </c>
    </row>
    <row r="13" spans="1:21" x14ac:dyDescent="0.35">
      <c r="A13" t="s">
        <v>66</v>
      </c>
      <c r="B13" s="10" t="s">
        <v>933</v>
      </c>
      <c r="D13">
        <v>166</v>
      </c>
      <c r="F13">
        <v>278</v>
      </c>
      <c r="G13">
        <v>260</v>
      </c>
      <c r="L13">
        <v>424</v>
      </c>
      <c r="M13">
        <v>440</v>
      </c>
      <c r="N13">
        <v>205</v>
      </c>
      <c r="R13">
        <v>244</v>
      </c>
      <c r="U13">
        <f t="shared" si="0"/>
        <v>7</v>
      </c>
    </row>
    <row r="14" spans="1:21" x14ac:dyDescent="0.35">
      <c r="A14" t="s">
        <v>68</v>
      </c>
      <c r="B14" s="10" t="s">
        <v>934</v>
      </c>
      <c r="C14">
        <v>2</v>
      </c>
      <c r="D14">
        <v>162</v>
      </c>
      <c r="F14">
        <v>282</v>
      </c>
      <c r="G14">
        <v>267</v>
      </c>
      <c r="L14">
        <v>527</v>
      </c>
      <c r="M14">
        <v>396</v>
      </c>
      <c r="N14">
        <v>202</v>
      </c>
      <c r="P14">
        <v>866</v>
      </c>
      <c r="R14">
        <v>246</v>
      </c>
      <c r="U14">
        <f t="shared" si="0"/>
        <v>8</v>
      </c>
    </row>
    <row r="15" spans="1:21" x14ac:dyDescent="0.35">
      <c r="A15" t="s">
        <v>74</v>
      </c>
      <c r="B15" s="10" t="s">
        <v>935</v>
      </c>
      <c r="D15">
        <v>136</v>
      </c>
      <c r="F15">
        <v>260</v>
      </c>
      <c r="G15">
        <v>231</v>
      </c>
      <c r="H15">
        <v>753</v>
      </c>
      <c r="I15">
        <v>155</v>
      </c>
      <c r="K15">
        <v>768</v>
      </c>
      <c r="L15">
        <v>39</v>
      </c>
      <c r="M15">
        <v>33</v>
      </c>
      <c r="N15">
        <v>190</v>
      </c>
      <c r="P15">
        <v>596</v>
      </c>
      <c r="R15">
        <v>235</v>
      </c>
      <c r="S15">
        <v>317</v>
      </c>
      <c r="U15">
        <f t="shared" si="0"/>
        <v>12</v>
      </c>
    </row>
    <row r="16" spans="1:21" x14ac:dyDescent="0.35">
      <c r="A16" t="s">
        <v>77</v>
      </c>
      <c r="B16" s="10" t="s">
        <v>936</v>
      </c>
      <c r="D16">
        <v>159</v>
      </c>
      <c r="F16">
        <v>274</v>
      </c>
      <c r="G16">
        <v>261</v>
      </c>
      <c r="I16">
        <v>334</v>
      </c>
      <c r="K16">
        <v>655</v>
      </c>
      <c r="L16">
        <v>138</v>
      </c>
      <c r="M16">
        <v>589</v>
      </c>
      <c r="N16">
        <v>203</v>
      </c>
      <c r="P16">
        <v>862</v>
      </c>
      <c r="R16">
        <v>243</v>
      </c>
      <c r="S16">
        <v>230</v>
      </c>
      <c r="T16">
        <v>95</v>
      </c>
      <c r="U16">
        <f t="shared" si="0"/>
        <v>12</v>
      </c>
    </row>
    <row r="17" spans="1:21" x14ac:dyDescent="0.35">
      <c r="A17" t="s">
        <v>59</v>
      </c>
      <c r="B17" s="10" t="s">
        <v>937</v>
      </c>
      <c r="D17">
        <v>171</v>
      </c>
      <c r="F17">
        <v>480</v>
      </c>
      <c r="G17">
        <v>500</v>
      </c>
      <c r="I17">
        <v>288</v>
      </c>
      <c r="K17" t="s">
        <v>60</v>
      </c>
      <c r="L17">
        <v>29</v>
      </c>
      <c r="M17">
        <v>591</v>
      </c>
      <c r="N17">
        <v>574</v>
      </c>
      <c r="P17">
        <v>906</v>
      </c>
      <c r="R17">
        <v>189</v>
      </c>
      <c r="S17">
        <v>335</v>
      </c>
      <c r="U17">
        <f t="shared" si="0"/>
        <v>10</v>
      </c>
    </row>
    <row r="18" spans="1:21" x14ac:dyDescent="0.35">
      <c r="A18" t="s">
        <v>80</v>
      </c>
      <c r="B18" s="10" t="s">
        <v>938</v>
      </c>
      <c r="D18">
        <v>145</v>
      </c>
      <c r="F18">
        <v>271</v>
      </c>
      <c r="G18">
        <v>247</v>
      </c>
      <c r="I18">
        <v>170</v>
      </c>
      <c r="K18">
        <v>505</v>
      </c>
      <c r="M18">
        <v>18</v>
      </c>
      <c r="N18">
        <v>192</v>
      </c>
      <c r="P18">
        <v>482</v>
      </c>
      <c r="R18">
        <v>238</v>
      </c>
      <c r="S18">
        <v>308</v>
      </c>
      <c r="U18">
        <f t="shared" si="0"/>
        <v>10</v>
      </c>
    </row>
    <row r="19" spans="1:21" x14ac:dyDescent="0.35">
      <c r="A19" t="s">
        <v>83</v>
      </c>
      <c r="B19" s="10" t="s">
        <v>939</v>
      </c>
      <c r="D19">
        <v>205</v>
      </c>
      <c r="F19">
        <v>441</v>
      </c>
      <c r="G19">
        <v>311</v>
      </c>
      <c r="I19" t="s">
        <v>84</v>
      </c>
      <c r="K19">
        <v>627</v>
      </c>
      <c r="M19" t="s">
        <v>85</v>
      </c>
      <c r="N19">
        <v>313</v>
      </c>
      <c r="P19">
        <v>659</v>
      </c>
      <c r="R19">
        <v>205</v>
      </c>
      <c r="U19">
        <f t="shared" si="0"/>
        <v>7</v>
      </c>
    </row>
    <row r="20" spans="1:21" x14ac:dyDescent="0.35">
      <c r="A20" t="s">
        <v>87</v>
      </c>
      <c r="B20" s="10" t="s">
        <v>829</v>
      </c>
      <c r="D20">
        <v>195</v>
      </c>
      <c r="F20">
        <v>431</v>
      </c>
      <c r="G20">
        <v>313</v>
      </c>
      <c r="I20">
        <v>238</v>
      </c>
      <c r="K20">
        <v>617</v>
      </c>
      <c r="L20">
        <v>156</v>
      </c>
      <c r="M20">
        <v>327</v>
      </c>
      <c r="N20">
        <v>317</v>
      </c>
      <c r="P20">
        <v>673</v>
      </c>
      <c r="R20">
        <v>207</v>
      </c>
      <c r="S20">
        <v>215</v>
      </c>
      <c r="U20">
        <f t="shared" si="0"/>
        <v>11</v>
      </c>
    </row>
    <row r="21" spans="1:21" x14ac:dyDescent="0.35">
      <c r="A21" t="s">
        <v>91</v>
      </c>
      <c r="B21" s="10" t="s">
        <v>91</v>
      </c>
      <c r="C21">
        <v>3</v>
      </c>
      <c r="D21">
        <v>337</v>
      </c>
      <c r="H21">
        <v>745</v>
      </c>
      <c r="K21" t="s">
        <v>92</v>
      </c>
      <c r="T21">
        <v>23</v>
      </c>
      <c r="U21">
        <f t="shared" si="0"/>
        <v>3</v>
      </c>
    </row>
    <row r="22" spans="1:21" x14ac:dyDescent="0.35">
      <c r="A22" t="s">
        <v>94</v>
      </c>
      <c r="B22" s="10" t="s">
        <v>972</v>
      </c>
      <c r="D22">
        <v>177</v>
      </c>
      <c r="H22">
        <v>785</v>
      </c>
      <c r="I22">
        <v>219</v>
      </c>
      <c r="K22" t="s">
        <v>95</v>
      </c>
      <c r="M22">
        <v>584</v>
      </c>
      <c r="N22">
        <v>522</v>
      </c>
      <c r="R22">
        <v>248</v>
      </c>
      <c r="S22">
        <v>471</v>
      </c>
      <c r="T22">
        <v>95</v>
      </c>
      <c r="U22">
        <f t="shared" si="0"/>
        <v>8</v>
      </c>
    </row>
    <row r="23" spans="1:21" x14ac:dyDescent="0.35">
      <c r="A23" t="s">
        <v>96</v>
      </c>
      <c r="B23" s="10" t="s">
        <v>941</v>
      </c>
      <c r="D23">
        <v>237</v>
      </c>
      <c r="F23">
        <v>314</v>
      </c>
      <c r="G23">
        <v>377</v>
      </c>
      <c r="I23">
        <v>355</v>
      </c>
      <c r="K23">
        <v>555</v>
      </c>
      <c r="L23">
        <v>205</v>
      </c>
      <c r="M23">
        <v>227</v>
      </c>
      <c r="N23">
        <v>390</v>
      </c>
      <c r="P23">
        <v>558</v>
      </c>
      <c r="R23">
        <v>249</v>
      </c>
      <c r="S23">
        <v>297</v>
      </c>
      <c r="U23">
        <f t="shared" si="0"/>
        <v>11</v>
      </c>
    </row>
    <row r="24" spans="1:21" x14ac:dyDescent="0.35">
      <c r="A24" t="s">
        <v>99</v>
      </c>
      <c r="B24" s="10" t="s">
        <v>942</v>
      </c>
      <c r="C24">
        <v>3</v>
      </c>
      <c r="G24" t="s">
        <v>100</v>
      </c>
      <c r="M24" t="s">
        <v>101</v>
      </c>
      <c r="N24" t="s">
        <v>102</v>
      </c>
      <c r="O24" t="s">
        <v>103</v>
      </c>
      <c r="P24">
        <v>951</v>
      </c>
      <c r="U24">
        <f t="shared" si="0"/>
        <v>1</v>
      </c>
    </row>
    <row r="25" spans="1:21" x14ac:dyDescent="0.35">
      <c r="A25" t="s">
        <v>106</v>
      </c>
      <c r="B25" s="10" t="s">
        <v>943</v>
      </c>
      <c r="C25">
        <v>3</v>
      </c>
      <c r="I25">
        <v>9</v>
      </c>
      <c r="J25">
        <v>914</v>
      </c>
      <c r="K25" t="s">
        <v>649</v>
      </c>
      <c r="P25">
        <v>958</v>
      </c>
      <c r="U25">
        <f t="shared" si="0"/>
        <v>3</v>
      </c>
    </row>
    <row r="26" spans="1:21" x14ac:dyDescent="0.35">
      <c r="A26" t="s">
        <v>108</v>
      </c>
      <c r="B26" s="10" t="s">
        <v>107</v>
      </c>
      <c r="C26">
        <v>4</v>
      </c>
      <c r="F26">
        <v>578</v>
      </c>
      <c r="G26">
        <v>644</v>
      </c>
      <c r="I26">
        <v>461</v>
      </c>
      <c r="K26">
        <v>805</v>
      </c>
      <c r="M26">
        <v>592</v>
      </c>
      <c r="N26">
        <v>334</v>
      </c>
      <c r="P26">
        <v>617</v>
      </c>
      <c r="S26" t="s">
        <v>109</v>
      </c>
      <c r="U26">
        <f t="shared" si="0"/>
        <v>7</v>
      </c>
    </row>
    <row r="27" spans="1:21" x14ac:dyDescent="0.35">
      <c r="A27" t="s">
        <v>113</v>
      </c>
      <c r="B27" s="10" t="s">
        <v>944</v>
      </c>
      <c r="D27">
        <v>36</v>
      </c>
      <c r="F27">
        <v>141</v>
      </c>
      <c r="G27">
        <v>95</v>
      </c>
      <c r="H27">
        <v>701</v>
      </c>
      <c r="I27">
        <v>13</v>
      </c>
      <c r="K27">
        <v>332</v>
      </c>
      <c r="L27">
        <v>186</v>
      </c>
      <c r="M27">
        <v>90</v>
      </c>
      <c r="N27">
        <v>2</v>
      </c>
      <c r="P27">
        <v>301</v>
      </c>
      <c r="R27" t="s">
        <v>114</v>
      </c>
      <c r="S27">
        <v>28</v>
      </c>
      <c r="T27">
        <v>25</v>
      </c>
      <c r="U27">
        <f t="shared" si="0"/>
        <v>12</v>
      </c>
    </row>
    <row r="28" spans="1:21" x14ac:dyDescent="0.35">
      <c r="A28" t="s">
        <v>118</v>
      </c>
      <c r="B28" s="10" t="s">
        <v>945</v>
      </c>
      <c r="D28">
        <v>21</v>
      </c>
      <c r="F28">
        <v>147</v>
      </c>
      <c r="G28">
        <v>80</v>
      </c>
      <c r="H28">
        <v>708</v>
      </c>
      <c r="I28">
        <v>35</v>
      </c>
      <c r="K28">
        <v>382</v>
      </c>
      <c r="L28">
        <v>184</v>
      </c>
      <c r="M28">
        <v>136</v>
      </c>
      <c r="N28">
        <v>33</v>
      </c>
      <c r="P28">
        <v>359</v>
      </c>
      <c r="R28">
        <v>164</v>
      </c>
      <c r="S28">
        <v>48</v>
      </c>
      <c r="U28">
        <f t="shared" si="0"/>
        <v>12</v>
      </c>
    </row>
    <row r="29" spans="1:21" x14ac:dyDescent="0.35">
      <c r="A29" t="s">
        <v>120</v>
      </c>
      <c r="B29" s="10" t="s">
        <v>946</v>
      </c>
      <c r="L29">
        <v>194</v>
      </c>
      <c r="M29">
        <v>112</v>
      </c>
      <c r="P29" t="s">
        <v>121</v>
      </c>
      <c r="T29" t="s">
        <v>122</v>
      </c>
      <c r="U29">
        <f t="shared" si="0"/>
        <v>2</v>
      </c>
    </row>
    <row r="30" spans="1:21" x14ac:dyDescent="0.35">
      <c r="A30" t="s">
        <v>124</v>
      </c>
      <c r="B30" s="10" t="s">
        <v>947</v>
      </c>
      <c r="C30">
        <v>7</v>
      </c>
      <c r="D30">
        <v>37</v>
      </c>
      <c r="G30">
        <v>92</v>
      </c>
      <c r="H30">
        <v>714</v>
      </c>
      <c r="I30">
        <v>47</v>
      </c>
      <c r="K30">
        <v>386</v>
      </c>
      <c r="L30">
        <v>199</v>
      </c>
      <c r="M30">
        <v>135</v>
      </c>
      <c r="N30">
        <v>34</v>
      </c>
      <c r="P30">
        <v>363</v>
      </c>
      <c r="S30">
        <v>55</v>
      </c>
      <c r="T30">
        <v>109</v>
      </c>
      <c r="U30">
        <f t="shared" si="0"/>
        <v>11</v>
      </c>
    </row>
    <row r="31" spans="1:21" x14ac:dyDescent="0.35">
      <c r="A31" t="s">
        <v>916</v>
      </c>
      <c r="B31" s="10" t="s">
        <v>125</v>
      </c>
      <c r="C31" t="s">
        <v>921</v>
      </c>
      <c r="H31" t="s">
        <v>128</v>
      </c>
      <c r="I31">
        <v>54</v>
      </c>
      <c r="P31">
        <v>351</v>
      </c>
      <c r="T31">
        <v>112</v>
      </c>
      <c r="U31">
        <f t="shared" si="0"/>
        <v>3</v>
      </c>
    </row>
    <row r="32" spans="1:21" x14ac:dyDescent="0.35">
      <c r="A32" t="s">
        <v>130</v>
      </c>
      <c r="B32" s="10" t="s">
        <v>948</v>
      </c>
      <c r="C32" t="s">
        <v>921</v>
      </c>
      <c r="H32" t="s">
        <v>128</v>
      </c>
      <c r="I32">
        <v>54</v>
      </c>
      <c r="P32">
        <v>351</v>
      </c>
      <c r="S32">
        <v>68</v>
      </c>
      <c r="T32" t="s">
        <v>131</v>
      </c>
      <c r="U32">
        <f t="shared" si="0"/>
        <v>3</v>
      </c>
    </row>
    <row r="33" spans="1:21" x14ac:dyDescent="0.35">
      <c r="A33" t="s">
        <v>133</v>
      </c>
      <c r="B33" s="10" t="s">
        <v>971</v>
      </c>
      <c r="D33">
        <v>17</v>
      </c>
      <c r="G33">
        <v>78</v>
      </c>
      <c r="M33">
        <v>131</v>
      </c>
      <c r="R33">
        <v>173</v>
      </c>
      <c r="T33">
        <v>108</v>
      </c>
      <c r="U33">
        <f t="shared" si="0"/>
        <v>5</v>
      </c>
    </row>
    <row r="34" spans="1:21" x14ac:dyDescent="0.35">
      <c r="A34" t="s">
        <v>138</v>
      </c>
      <c r="B34" s="10" t="s">
        <v>970</v>
      </c>
      <c r="D34">
        <v>313</v>
      </c>
      <c r="F34">
        <v>34</v>
      </c>
      <c r="G34">
        <v>559</v>
      </c>
      <c r="K34">
        <v>882</v>
      </c>
      <c r="L34">
        <v>557</v>
      </c>
      <c r="M34">
        <v>571</v>
      </c>
      <c r="R34" t="s">
        <v>139</v>
      </c>
      <c r="S34">
        <v>273</v>
      </c>
      <c r="T34">
        <v>33</v>
      </c>
      <c r="U34">
        <f t="shared" ref="U34:U65" si="1">COUNT(D34:T34)</f>
        <v>8</v>
      </c>
    </row>
    <row r="35" spans="1:21" x14ac:dyDescent="0.35">
      <c r="A35" t="s">
        <v>652</v>
      </c>
      <c r="B35" s="10" t="s">
        <v>651</v>
      </c>
      <c r="G35">
        <v>191</v>
      </c>
      <c r="H35" t="s">
        <v>143</v>
      </c>
      <c r="I35" t="s">
        <v>653</v>
      </c>
      <c r="K35" t="s">
        <v>654</v>
      </c>
      <c r="M35">
        <v>345</v>
      </c>
      <c r="N35">
        <v>442</v>
      </c>
      <c r="P35">
        <v>150</v>
      </c>
      <c r="S35" t="s">
        <v>655</v>
      </c>
      <c r="U35">
        <f t="shared" si="1"/>
        <v>4</v>
      </c>
    </row>
    <row r="36" spans="1:21" x14ac:dyDescent="0.35">
      <c r="A36" t="s">
        <v>145</v>
      </c>
      <c r="B36" s="10" t="s">
        <v>950</v>
      </c>
      <c r="D36">
        <v>99</v>
      </c>
      <c r="F36">
        <v>224</v>
      </c>
      <c r="G36">
        <v>195</v>
      </c>
      <c r="I36">
        <v>123</v>
      </c>
      <c r="K36">
        <v>458</v>
      </c>
      <c r="L36">
        <v>330</v>
      </c>
      <c r="M36">
        <v>343</v>
      </c>
      <c r="N36">
        <v>161</v>
      </c>
      <c r="O36">
        <v>720</v>
      </c>
      <c r="P36" t="s">
        <v>146</v>
      </c>
      <c r="R36">
        <v>218</v>
      </c>
      <c r="S36">
        <v>134</v>
      </c>
      <c r="U36">
        <f t="shared" si="1"/>
        <v>11</v>
      </c>
    </row>
    <row r="37" spans="1:21" x14ac:dyDescent="0.35">
      <c r="A37" t="s">
        <v>148</v>
      </c>
      <c r="B37" s="10" t="s">
        <v>951</v>
      </c>
      <c r="D37">
        <v>98</v>
      </c>
      <c r="G37">
        <v>187</v>
      </c>
      <c r="H37" t="s">
        <v>149</v>
      </c>
      <c r="I37">
        <v>124</v>
      </c>
      <c r="K37">
        <v>459</v>
      </c>
      <c r="N37">
        <v>144</v>
      </c>
      <c r="P37">
        <v>458</v>
      </c>
      <c r="S37">
        <v>136</v>
      </c>
      <c r="U37">
        <f t="shared" si="1"/>
        <v>7</v>
      </c>
    </row>
    <row r="38" spans="1:21" x14ac:dyDescent="0.35">
      <c r="A38" t="s">
        <v>151</v>
      </c>
      <c r="B38" s="10" t="s">
        <v>952</v>
      </c>
      <c r="D38">
        <v>96</v>
      </c>
      <c r="U38">
        <f t="shared" si="1"/>
        <v>1</v>
      </c>
    </row>
    <row r="39" spans="1:21" x14ac:dyDescent="0.35">
      <c r="A39" t="s">
        <v>153</v>
      </c>
      <c r="B39" s="10" t="s">
        <v>953</v>
      </c>
      <c r="G39">
        <v>199</v>
      </c>
      <c r="I39">
        <v>127</v>
      </c>
      <c r="K39">
        <v>457</v>
      </c>
      <c r="M39">
        <v>352</v>
      </c>
      <c r="N39">
        <v>157</v>
      </c>
      <c r="P39">
        <v>438</v>
      </c>
      <c r="S39">
        <v>151</v>
      </c>
      <c r="U39">
        <f t="shared" si="1"/>
        <v>7</v>
      </c>
    </row>
    <row r="40" spans="1:21" x14ac:dyDescent="0.35">
      <c r="A40" t="s">
        <v>156</v>
      </c>
      <c r="B40" s="10" t="s">
        <v>954</v>
      </c>
      <c r="D40">
        <v>119</v>
      </c>
      <c r="U40">
        <f t="shared" si="1"/>
        <v>1</v>
      </c>
    </row>
    <row r="41" spans="1:21" x14ac:dyDescent="0.35">
      <c r="A41" t="s">
        <v>166</v>
      </c>
      <c r="B41" s="10" t="s">
        <v>955</v>
      </c>
      <c r="C41">
        <v>3</v>
      </c>
      <c r="F41">
        <v>575</v>
      </c>
      <c r="U41">
        <f t="shared" si="1"/>
        <v>1</v>
      </c>
    </row>
    <row r="42" spans="1:21" x14ac:dyDescent="0.35">
      <c r="A42" t="s">
        <v>646</v>
      </c>
      <c r="B42" s="10" t="s">
        <v>956</v>
      </c>
      <c r="C42">
        <v>3</v>
      </c>
      <c r="D42">
        <v>152</v>
      </c>
      <c r="F42">
        <v>570</v>
      </c>
      <c r="N42">
        <v>275</v>
      </c>
      <c r="P42">
        <v>954</v>
      </c>
      <c r="U42">
        <f t="shared" si="1"/>
        <v>4</v>
      </c>
    </row>
    <row r="43" spans="1:21" x14ac:dyDescent="0.35">
      <c r="A43" t="s">
        <v>647</v>
      </c>
      <c r="B43" s="10" t="s">
        <v>957</v>
      </c>
      <c r="C43">
        <v>3</v>
      </c>
      <c r="F43">
        <v>572</v>
      </c>
      <c r="G43">
        <v>275</v>
      </c>
      <c r="I43">
        <v>211</v>
      </c>
      <c r="J43">
        <v>803</v>
      </c>
      <c r="K43">
        <v>934</v>
      </c>
      <c r="M43">
        <v>47</v>
      </c>
      <c r="N43">
        <v>274</v>
      </c>
      <c r="R43">
        <v>314</v>
      </c>
      <c r="S43">
        <v>180</v>
      </c>
      <c r="U43">
        <f t="shared" si="1"/>
        <v>9</v>
      </c>
    </row>
    <row r="44" spans="1:21" x14ac:dyDescent="0.35">
      <c r="A44" t="s">
        <v>175</v>
      </c>
      <c r="B44" s="10" t="s">
        <v>958</v>
      </c>
      <c r="D44">
        <v>416</v>
      </c>
      <c r="G44">
        <v>590</v>
      </c>
      <c r="I44">
        <v>265</v>
      </c>
      <c r="K44">
        <v>755</v>
      </c>
      <c r="L44">
        <v>240</v>
      </c>
      <c r="M44">
        <v>527</v>
      </c>
      <c r="N44">
        <v>534</v>
      </c>
      <c r="P44">
        <v>843</v>
      </c>
      <c r="R44">
        <v>257</v>
      </c>
      <c r="S44">
        <v>350</v>
      </c>
      <c r="U44">
        <f t="shared" si="1"/>
        <v>10</v>
      </c>
    </row>
    <row r="45" spans="1:21" x14ac:dyDescent="0.35">
      <c r="A45" t="s">
        <v>179</v>
      </c>
      <c r="B45" s="10" t="s">
        <v>959</v>
      </c>
      <c r="D45">
        <v>180</v>
      </c>
      <c r="F45">
        <v>391</v>
      </c>
      <c r="G45">
        <v>287</v>
      </c>
      <c r="I45">
        <v>331</v>
      </c>
      <c r="K45">
        <v>581</v>
      </c>
      <c r="M45" t="s">
        <v>180</v>
      </c>
      <c r="N45">
        <v>285</v>
      </c>
      <c r="P45">
        <v>634</v>
      </c>
      <c r="R45">
        <v>275</v>
      </c>
      <c r="U45">
        <f t="shared" si="1"/>
        <v>8</v>
      </c>
    </row>
    <row r="46" spans="1:21" x14ac:dyDescent="0.35">
      <c r="A46" t="s">
        <v>182</v>
      </c>
      <c r="B46" s="10" t="s">
        <v>960</v>
      </c>
      <c r="D46">
        <v>181</v>
      </c>
      <c r="F46">
        <v>392</v>
      </c>
      <c r="R46">
        <v>274</v>
      </c>
      <c r="U46">
        <f t="shared" si="1"/>
        <v>3</v>
      </c>
    </row>
    <row r="47" spans="1:21" x14ac:dyDescent="0.35">
      <c r="A47" t="s">
        <v>185</v>
      </c>
      <c r="B47" s="10" t="s">
        <v>961</v>
      </c>
      <c r="D47">
        <v>186</v>
      </c>
      <c r="F47">
        <v>401</v>
      </c>
      <c r="I47">
        <v>223</v>
      </c>
      <c r="K47" t="s">
        <v>186</v>
      </c>
      <c r="M47">
        <v>247</v>
      </c>
      <c r="N47">
        <v>88</v>
      </c>
      <c r="P47">
        <v>378</v>
      </c>
      <c r="R47">
        <v>184</v>
      </c>
      <c r="S47">
        <v>79</v>
      </c>
      <c r="U47">
        <f t="shared" si="1"/>
        <v>8</v>
      </c>
    </row>
    <row r="48" spans="1:21" x14ac:dyDescent="0.35">
      <c r="A48" t="s">
        <v>192</v>
      </c>
      <c r="B48" s="10" t="s">
        <v>962</v>
      </c>
      <c r="D48">
        <v>192</v>
      </c>
      <c r="F48">
        <v>426</v>
      </c>
      <c r="G48">
        <v>331</v>
      </c>
      <c r="I48">
        <v>235</v>
      </c>
      <c r="K48">
        <v>614</v>
      </c>
      <c r="L48">
        <v>401</v>
      </c>
      <c r="M48">
        <v>417</v>
      </c>
      <c r="N48">
        <v>308</v>
      </c>
      <c r="P48">
        <v>656</v>
      </c>
      <c r="U48">
        <f t="shared" si="1"/>
        <v>9</v>
      </c>
    </row>
    <row r="49" spans="1:21" x14ac:dyDescent="0.35">
      <c r="A49" t="s">
        <v>195</v>
      </c>
      <c r="B49" s="10" t="s">
        <v>963</v>
      </c>
      <c r="D49">
        <v>236</v>
      </c>
      <c r="G49">
        <v>369</v>
      </c>
      <c r="I49">
        <v>363</v>
      </c>
      <c r="K49">
        <v>562</v>
      </c>
      <c r="M49" t="s">
        <v>196</v>
      </c>
      <c r="N49">
        <v>378</v>
      </c>
      <c r="P49">
        <v>556</v>
      </c>
      <c r="R49">
        <v>191</v>
      </c>
      <c r="U49">
        <f t="shared" si="1"/>
        <v>7</v>
      </c>
    </row>
    <row r="50" spans="1:21" x14ac:dyDescent="0.35">
      <c r="A50" t="s">
        <v>198</v>
      </c>
      <c r="B50" s="10" t="s">
        <v>964</v>
      </c>
      <c r="D50">
        <v>189</v>
      </c>
      <c r="U50">
        <f t="shared" si="1"/>
        <v>1</v>
      </c>
    </row>
    <row r="51" spans="1:21" x14ac:dyDescent="0.35">
      <c r="A51" t="s">
        <v>201</v>
      </c>
      <c r="B51" s="10" t="s">
        <v>975</v>
      </c>
      <c r="D51">
        <v>328</v>
      </c>
      <c r="F51">
        <v>446</v>
      </c>
      <c r="R51">
        <v>277</v>
      </c>
      <c r="U51">
        <f t="shared" si="1"/>
        <v>3</v>
      </c>
    </row>
    <row r="52" spans="1:21" x14ac:dyDescent="0.35">
      <c r="A52" t="s">
        <v>207</v>
      </c>
      <c r="B52" s="10" t="s">
        <v>965</v>
      </c>
      <c r="D52">
        <v>65</v>
      </c>
      <c r="F52">
        <v>185</v>
      </c>
      <c r="G52">
        <v>137</v>
      </c>
      <c r="I52">
        <v>185</v>
      </c>
      <c r="K52">
        <v>938</v>
      </c>
      <c r="M52">
        <v>48</v>
      </c>
      <c r="N52">
        <v>269</v>
      </c>
      <c r="P52">
        <v>949</v>
      </c>
      <c r="R52">
        <v>252</v>
      </c>
      <c r="S52">
        <v>349</v>
      </c>
      <c r="U52">
        <f t="shared" si="1"/>
        <v>10</v>
      </c>
    </row>
    <row r="53" spans="1:21" x14ac:dyDescent="0.35">
      <c r="A53" t="s">
        <v>209</v>
      </c>
      <c r="B53" s="10" t="s">
        <v>966</v>
      </c>
      <c r="D53">
        <v>243</v>
      </c>
      <c r="F53">
        <v>310</v>
      </c>
      <c r="G53">
        <v>387</v>
      </c>
      <c r="I53">
        <v>353</v>
      </c>
      <c r="K53">
        <v>556</v>
      </c>
      <c r="L53">
        <v>526</v>
      </c>
      <c r="M53">
        <v>378</v>
      </c>
      <c r="N53">
        <v>377</v>
      </c>
      <c r="P53">
        <v>557</v>
      </c>
      <c r="R53">
        <v>245</v>
      </c>
      <c r="S53">
        <v>299</v>
      </c>
      <c r="U53">
        <f t="shared" si="1"/>
        <v>11</v>
      </c>
    </row>
    <row r="54" spans="1:21" x14ac:dyDescent="0.35">
      <c r="A54" t="s">
        <v>212</v>
      </c>
      <c r="B54" s="10" t="s">
        <v>967</v>
      </c>
      <c r="D54">
        <v>417</v>
      </c>
      <c r="F54">
        <v>538</v>
      </c>
      <c r="G54">
        <v>596</v>
      </c>
      <c r="K54">
        <v>759</v>
      </c>
      <c r="L54">
        <v>594</v>
      </c>
      <c r="M54">
        <v>476</v>
      </c>
      <c r="U54">
        <f t="shared" si="1"/>
        <v>6</v>
      </c>
    </row>
    <row r="55" spans="1:21" x14ac:dyDescent="0.35">
      <c r="A55" t="s">
        <v>215</v>
      </c>
      <c r="B55" s="10" t="s">
        <v>976</v>
      </c>
      <c r="C55">
        <v>6</v>
      </c>
      <c r="D55">
        <v>408</v>
      </c>
      <c r="F55">
        <v>539</v>
      </c>
      <c r="L55">
        <v>595</v>
      </c>
      <c r="M55">
        <v>480</v>
      </c>
      <c r="T55">
        <v>107</v>
      </c>
      <c r="U55">
        <f t="shared" si="1"/>
        <v>5</v>
      </c>
    </row>
    <row r="56" spans="1:21" x14ac:dyDescent="0.35">
      <c r="A56" t="s">
        <v>219</v>
      </c>
      <c r="B56" s="10" t="s">
        <v>977</v>
      </c>
      <c r="D56">
        <v>438</v>
      </c>
      <c r="F56">
        <v>284</v>
      </c>
      <c r="U56">
        <f t="shared" si="1"/>
        <v>2</v>
      </c>
    </row>
    <row r="57" spans="1:21" x14ac:dyDescent="0.35">
      <c r="A57" t="s">
        <v>918</v>
      </c>
      <c r="B57" s="10" t="s">
        <v>308</v>
      </c>
      <c r="D57" s="26">
        <v>442</v>
      </c>
      <c r="E57" s="26"/>
      <c r="F57" s="26"/>
      <c r="G57" s="26"/>
      <c r="H57" s="26"/>
      <c r="I57" s="26"/>
      <c r="J57" s="26"/>
      <c r="K57" s="26"/>
      <c r="L57" s="26"/>
      <c r="M57" s="26"/>
      <c r="N57" s="26"/>
      <c r="O57" s="26"/>
      <c r="P57" s="26"/>
      <c r="Q57" s="26"/>
      <c r="R57" s="26"/>
      <c r="S57" s="26"/>
      <c r="T57" s="26"/>
      <c r="U57">
        <f t="shared" si="1"/>
        <v>1</v>
      </c>
    </row>
    <row r="58" spans="1:21" x14ac:dyDescent="0.35">
      <c r="A58" t="s">
        <v>315</v>
      </c>
      <c r="B58" s="10" t="s">
        <v>313</v>
      </c>
      <c r="D58" s="26">
        <v>433</v>
      </c>
      <c r="E58" s="26"/>
      <c r="F58" s="26">
        <v>552</v>
      </c>
      <c r="G58" s="26">
        <v>611</v>
      </c>
      <c r="H58" s="26"/>
      <c r="I58" s="26">
        <v>462</v>
      </c>
      <c r="J58" s="26"/>
      <c r="K58" s="26">
        <v>508</v>
      </c>
      <c r="L58" s="26"/>
      <c r="M58" s="26">
        <v>538</v>
      </c>
      <c r="N58" s="26">
        <v>488</v>
      </c>
      <c r="O58" s="26"/>
      <c r="P58" s="26">
        <v>207</v>
      </c>
      <c r="Q58" s="26"/>
      <c r="R58" s="26">
        <v>261</v>
      </c>
      <c r="S58" s="26">
        <v>321</v>
      </c>
      <c r="T58" s="26"/>
      <c r="U58">
        <f t="shared" si="1"/>
        <v>10</v>
      </c>
    </row>
    <row r="59" spans="1:21" x14ac:dyDescent="0.35">
      <c r="A59" t="s">
        <v>917</v>
      </c>
      <c r="B59" s="10" t="s">
        <v>317</v>
      </c>
      <c r="D59" s="26"/>
      <c r="E59" s="26">
        <v>102</v>
      </c>
      <c r="F59" s="26"/>
      <c r="G59" s="26"/>
      <c r="H59" s="26"/>
      <c r="I59" s="26"/>
      <c r="J59" s="26"/>
      <c r="K59" s="26"/>
      <c r="L59" s="26"/>
      <c r="M59" s="26"/>
      <c r="N59" s="26"/>
      <c r="O59" s="26"/>
      <c r="P59" s="26"/>
      <c r="Q59" s="26"/>
      <c r="R59" s="26"/>
      <c r="S59" s="26"/>
      <c r="T59" s="26"/>
      <c r="U59">
        <f t="shared" si="1"/>
        <v>1</v>
      </c>
    </row>
    <row r="60" spans="1:21" x14ac:dyDescent="0.35">
      <c r="A60" t="s">
        <v>322</v>
      </c>
      <c r="B60" s="10" t="s">
        <v>320</v>
      </c>
      <c r="D60" s="26">
        <v>16</v>
      </c>
      <c r="E60" s="26"/>
      <c r="F60" s="26">
        <v>134</v>
      </c>
      <c r="G60" s="26">
        <v>67</v>
      </c>
      <c r="H60" s="26"/>
      <c r="I60" s="26">
        <v>176</v>
      </c>
      <c r="J60" s="26"/>
      <c r="K60" s="26">
        <v>514</v>
      </c>
      <c r="L60" s="26">
        <v>511</v>
      </c>
      <c r="M60" s="26">
        <v>100</v>
      </c>
      <c r="N60" s="26"/>
      <c r="O60" s="26"/>
      <c r="P60" s="26">
        <v>10</v>
      </c>
      <c r="Q60" s="26"/>
      <c r="R60" s="26">
        <v>156</v>
      </c>
      <c r="S60" s="26"/>
      <c r="T60" s="26"/>
      <c r="U60">
        <f t="shared" si="1"/>
        <v>9</v>
      </c>
    </row>
    <row r="61" spans="1:21" x14ac:dyDescent="0.35">
      <c r="A61" t="s">
        <v>334</v>
      </c>
      <c r="B61" t="s">
        <v>332</v>
      </c>
      <c r="D61" s="26">
        <v>33</v>
      </c>
      <c r="E61" s="26"/>
      <c r="F61" s="26"/>
      <c r="G61" s="26">
        <v>75</v>
      </c>
      <c r="H61" s="26"/>
      <c r="I61" s="26">
        <v>25</v>
      </c>
      <c r="J61" s="26"/>
      <c r="K61" s="26">
        <v>354</v>
      </c>
      <c r="L61" s="26"/>
      <c r="M61" s="26"/>
      <c r="N61" s="26">
        <v>310</v>
      </c>
      <c r="O61" s="26"/>
      <c r="P61" s="26">
        <v>14</v>
      </c>
      <c r="Q61" s="26"/>
      <c r="R61" s="26"/>
      <c r="S61" s="26"/>
      <c r="T61" s="26"/>
      <c r="U61">
        <f t="shared" si="1"/>
        <v>6</v>
      </c>
    </row>
    <row r="62" spans="1:21" x14ac:dyDescent="0.35">
      <c r="A62" t="s">
        <v>351</v>
      </c>
      <c r="B62" s="10" t="s">
        <v>349</v>
      </c>
      <c r="D62" s="26"/>
      <c r="E62" s="26"/>
      <c r="F62" s="26">
        <v>130</v>
      </c>
      <c r="G62" s="26">
        <v>61</v>
      </c>
      <c r="H62" s="26"/>
      <c r="I62" s="26">
        <v>28</v>
      </c>
      <c r="J62" s="26"/>
      <c r="K62" s="26">
        <v>347</v>
      </c>
      <c r="L62" s="26">
        <v>170</v>
      </c>
      <c r="M62" s="26">
        <v>102</v>
      </c>
      <c r="N62" s="26">
        <v>312</v>
      </c>
      <c r="O62" s="26"/>
      <c r="P62" s="26">
        <v>11</v>
      </c>
      <c r="Q62" s="26"/>
      <c r="R62" s="26"/>
      <c r="S62" s="26">
        <v>29</v>
      </c>
      <c r="T62" s="26"/>
      <c r="U62">
        <f t="shared" si="1"/>
        <v>9</v>
      </c>
    </row>
    <row r="63" spans="1:21" x14ac:dyDescent="0.35">
      <c r="A63" t="s">
        <v>915</v>
      </c>
      <c r="B63" s="10" t="s">
        <v>914</v>
      </c>
      <c r="D63" s="26">
        <v>15</v>
      </c>
      <c r="E63" s="26"/>
      <c r="F63" s="26">
        <v>148</v>
      </c>
      <c r="G63" s="26">
        <v>104</v>
      </c>
      <c r="H63" s="26">
        <v>709</v>
      </c>
      <c r="I63" s="26">
        <v>43</v>
      </c>
      <c r="J63" s="26"/>
      <c r="K63" s="26">
        <v>385</v>
      </c>
      <c r="L63" s="26">
        <v>291</v>
      </c>
      <c r="M63" s="26">
        <v>267</v>
      </c>
      <c r="N63" s="26"/>
      <c r="O63" s="26"/>
      <c r="P63" s="26">
        <v>39</v>
      </c>
      <c r="Q63" s="26"/>
      <c r="R63" s="26">
        <v>169</v>
      </c>
      <c r="S63" s="26">
        <v>64</v>
      </c>
      <c r="T63" s="26">
        <v>27</v>
      </c>
      <c r="U63">
        <f t="shared" si="1"/>
        <v>12</v>
      </c>
    </row>
    <row r="64" spans="1:21" x14ac:dyDescent="0.35">
      <c r="A64" t="s">
        <v>370</v>
      </c>
      <c r="B64" s="10" t="s">
        <v>368</v>
      </c>
      <c r="D64" s="26">
        <v>30</v>
      </c>
      <c r="E64" s="26"/>
      <c r="F64" s="26">
        <v>157</v>
      </c>
      <c r="G64" s="26">
        <v>105</v>
      </c>
      <c r="H64" s="26">
        <v>712</v>
      </c>
      <c r="I64" s="26">
        <v>44</v>
      </c>
      <c r="J64" s="26"/>
      <c r="K64" s="26">
        <v>389</v>
      </c>
      <c r="L64" s="26"/>
      <c r="M64" s="26">
        <v>148</v>
      </c>
      <c r="N64" s="26">
        <v>355</v>
      </c>
      <c r="O64" s="26"/>
      <c r="P64" s="26">
        <v>41</v>
      </c>
      <c r="Q64" s="26"/>
      <c r="R64" s="26"/>
      <c r="S64" s="26">
        <v>47</v>
      </c>
      <c r="T64" s="26"/>
      <c r="U64">
        <f t="shared" si="1"/>
        <v>10</v>
      </c>
    </row>
    <row r="65" spans="1:21" x14ac:dyDescent="0.35">
      <c r="A65" t="s">
        <v>363</v>
      </c>
      <c r="B65" s="10" t="s">
        <v>361</v>
      </c>
      <c r="D65" s="26">
        <v>42</v>
      </c>
      <c r="E65" s="26"/>
      <c r="F65" s="26">
        <v>162</v>
      </c>
      <c r="G65" s="26">
        <v>103</v>
      </c>
      <c r="H65" s="26"/>
      <c r="I65" s="26">
        <v>52</v>
      </c>
      <c r="J65" s="26"/>
      <c r="K65" s="26"/>
      <c r="L65" s="26"/>
      <c r="M65" s="26">
        <v>154</v>
      </c>
      <c r="N65" s="26">
        <v>335</v>
      </c>
      <c r="O65" s="26"/>
      <c r="P65" s="26">
        <v>53</v>
      </c>
      <c r="Q65" s="26"/>
      <c r="R65" s="26">
        <v>161</v>
      </c>
      <c r="S65" s="26"/>
      <c r="T65" s="26"/>
      <c r="U65">
        <f t="shared" si="1"/>
        <v>8</v>
      </c>
    </row>
    <row r="66" spans="1:21" x14ac:dyDescent="0.35">
      <c r="A66" t="s">
        <v>919</v>
      </c>
      <c r="B66" s="10" t="s">
        <v>375</v>
      </c>
      <c r="D66" s="26">
        <v>50</v>
      </c>
      <c r="E66" s="26"/>
      <c r="F66" s="26"/>
      <c r="G66" s="26">
        <v>112</v>
      </c>
      <c r="H66" s="26"/>
      <c r="I66" s="26"/>
      <c r="J66" s="26"/>
      <c r="K66" s="26"/>
      <c r="L66" s="26">
        <v>209</v>
      </c>
      <c r="M66" s="26"/>
      <c r="N66" s="26"/>
      <c r="O66" s="26"/>
      <c r="P66" s="26">
        <v>73</v>
      </c>
      <c r="Q66" s="26"/>
      <c r="R66" s="26"/>
      <c r="S66" s="26"/>
      <c r="T66" s="26"/>
      <c r="U66">
        <f t="shared" ref="U66:U97" si="2">COUNT(D66:T66)</f>
        <v>4</v>
      </c>
    </row>
    <row r="67" spans="1:21" x14ac:dyDescent="0.35">
      <c r="A67" t="s">
        <v>381</v>
      </c>
      <c r="B67" s="10" t="s">
        <v>379</v>
      </c>
      <c r="D67" s="26">
        <v>48</v>
      </c>
      <c r="E67" s="26"/>
      <c r="F67" s="26">
        <v>173</v>
      </c>
      <c r="G67" s="26">
        <v>125</v>
      </c>
      <c r="H67" s="26"/>
      <c r="I67" s="26"/>
      <c r="J67" s="26"/>
      <c r="K67" s="26"/>
      <c r="L67" s="26">
        <v>207</v>
      </c>
      <c r="M67" s="26"/>
      <c r="N67" s="26"/>
      <c r="O67" s="26"/>
      <c r="P67" s="26">
        <v>71</v>
      </c>
      <c r="Q67" s="26"/>
      <c r="R67" s="26">
        <v>180</v>
      </c>
      <c r="S67" s="26"/>
      <c r="T67" s="26"/>
      <c r="U67">
        <f t="shared" si="2"/>
        <v>6</v>
      </c>
    </row>
    <row r="68" spans="1:21" x14ac:dyDescent="0.35">
      <c r="A68" t="s">
        <v>398</v>
      </c>
      <c r="B68" s="10" t="s">
        <v>396</v>
      </c>
      <c r="D68" s="26">
        <v>176</v>
      </c>
      <c r="E68" s="26"/>
      <c r="F68" s="26">
        <v>275</v>
      </c>
      <c r="G68" s="26">
        <v>265</v>
      </c>
      <c r="H68" s="26"/>
      <c r="I68" s="26"/>
      <c r="J68" s="26"/>
      <c r="K68" s="26"/>
      <c r="L68" s="26"/>
      <c r="M68" s="26">
        <v>221</v>
      </c>
      <c r="N68" s="26"/>
      <c r="O68" s="26"/>
      <c r="P68" s="26"/>
      <c r="Q68" s="26"/>
      <c r="R68" s="26"/>
      <c r="S68" s="26"/>
      <c r="T68" s="26"/>
      <c r="U68">
        <f t="shared" si="2"/>
        <v>4</v>
      </c>
    </row>
    <row r="69" spans="1:21" x14ac:dyDescent="0.35">
      <c r="A69" t="s">
        <v>403</v>
      </c>
      <c r="B69" s="10" t="s">
        <v>401</v>
      </c>
      <c r="D69" s="26">
        <v>60</v>
      </c>
      <c r="E69" s="26"/>
      <c r="F69" s="26"/>
      <c r="G69" s="26"/>
      <c r="H69" s="26"/>
      <c r="I69" s="26"/>
      <c r="J69" s="26"/>
      <c r="K69" s="26"/>
      <c r="L69" s="26"/>
      <c r="M69" s="26"/>
      <c r="N69" s="26"/>
      <c r="O69" s="26"/>
      <c r="P69" s="26"/>
      <c r="Q69" s="26"/>
      <c r="R69" s="26">
        <v>183</v>
      </c>
      <c r="S69" s="26"/>
      <c r="T69" s="26">
        <v>30</v>
      </c>
      <c r="U69">
        <f t="shared" si="2"/>
        <v>3</v>
      </c>
    </row>
    <row r="70" spans="1:21" x14ac:dyDescent="0.35">
      <c r="A70" t="s">
        <v>330</v>
      </c>
      <c r="B70" s="10" t="s">
        <v>328</v>
      </c>
      <c r="D70" s="26">
        <v>24</v>
      </c>
      <c r="E70" s="26"/>
      <c r="F70" s="26"/>
      <c r="G70" s="26"/>
      <c r="H70" s="26">
        <v>722</v>
      </c>
      <c r="I70" s="26">
        <v>72</v>
      </c>
      <c r="J70" s="26"/>
      <c r="K70" s="26">
        <v>402</v>
      </c>
      <c r="L70" s="26">
        <v>167</v>
      </c>
      <c r="M70" s="26">
        <v>224</v>
      </c>
      <c r="N70" s="26">
        <v>383</v>
      </c>
      <c r="O70" s="26"/>
      <c r="P70" s="26">
        <v>86</v>
      </c>
      <c r="Q70" s="26"/>
      <c r="R70" s="26">
        <v>188</v>
      </c>
      <c r="S70" s="26">
        <v>86</v>
      </c>
      <c r="T70" s="26"/>
      <c r="U70">
        <f t="shared" si="2"/>
        <v>10</v>
      </c>
    </row>
    <row r="71" spans="1:21" x14ac:dyDescent="0.35">
      <c r="A71" t="s">
        <v>428</v>
      </c>
      <c r="B71" s="10" t="s">
        <v>426</v>
      </c>
      <c r="D71" s="26">
        <v>245</v>
      </c>
      <c r="E71" s="26"/>
      <c r="F71" s="26"/>
      <c r="G71" s="26">
        <v>383</v>
      </c>
      <c r="H71" s="26"/>
      <c r="I71" s="26">
        <v>358</v>
      </c>
      <c r="J71" s="26"/>
      <c r="K71" s="26">
        <v>557</v>
      </c>
      <c r="L71" s="26"/>
      <c r="M71" s="26">
        <v>207</v>
      </c>
      <c r="N71" s="26">
        <v>698</v>
      </c>
      <c r="O71" s="26"/>
      <c r="P71" s="26">
        <v>395</v>
      </c>
      <c r="Q71" s="26"/>
      <c r="R71" s="26">
        <v>187</v>
      </c>
      <c r="S71" s="26"/>
      <c r="T71" s="26"/>
      <c r="U71">
        <f t="shared" si="2"/>
        <v>8</v>
      </c>
    </row>
    <row r="72" spans="1:21" x14ac:dyDescent="0.35">
      <c r="A72" t="s">
        <v>444</v>
      </c>
      <c r="B72" t="s">
        <v>442</v>
      </c>
      <c r="D72" s="26">
        <v>276</v>
      </c>
      <c r="E72" s="26"/>
      <c r="F72" s="26"/>
      <c r="G72" s="26"/>
      <c r="H72" s="26"/>
      <c r="I72" s="26"/>
      <c r="J72" s="26"/>
      <c r="K72" s="26"/>
      <c r="L72" s="26"/>
      <c r="M72" s="26"/>
      <c r="N72" s="26"/>
      <c r="O72" s="26"/>
      <c r="P72" s="26"/>
      <c r="Q72" s="26"/>
      <c r="R72" s="26"/>
      <c r="S72" s="26"/>
      <c r="T72" s="26"/>
      <c r="U72">
        <f t="shared" si="2"/>
        <v>1</v>
      </c>
    </row>
    <row r="73" spans="1:21" x14ac:dyDescent="0.35">
      <c r="A73" t="s">
        <v>453</v>
      </c>
      <c r="B73" t="s">
        <v>451</v>
      </c>
      <c r="D73" s="26">
        <v>278</v>
      </c>
      <c r="E73" s="26"/>
      <c r="F73" s="26">
        <v>333</v>
      </c>
      <c r="G73" s="26">
        <v>409</v>
      </c>
      <c r="H73" s="26"/>
      <c r="I73" s="26">
        <v>381</v>
      </c>
      <c r="J73" s="26"/>
      <c r="K73" s="26">
        <v>685</v>
      </c>
      <c r="L73" s="26"/>
      <c r="M73" s="26">
        <v>236</v>
      </c>
      <c r="N73" s="26">
        <v>704</v>
      </c>
      <c r="O73" s="26"/>
      <c r="P73" s="26">
        <v>452</v>
      </c>
      <c r="Q73" s="26"/>
      <c r="R73" s="26"/>
      <c r="S73" s="26">
        <v>487</v>
      </c>
      <c r="T73" s="26"/>
      <c r="U73">
        <f t="shared" si="2"/>
        <v>9</v>
      </c>
    </row>
    <row r="74" spans="1:21" x14ac:dyDescent="0.35">
      <c r="A74" t="s">
        <v>458</v>
      </c>
      <c r="B74" t="s">
        <v>456</v>
      </c>
      <c r="D74" s="26">
        <v>167</v>
      </c>
      <c r="E74" s="26"/>
      <c r="F74" s="26">
        <v>279</v>
      </c>
      <c r="G74" s="26">
        <v>258</v>
      </c>
      <c r="H74" s="26">
        <v>786</v>
      </c>
      <c r="I74" s="26">
        <v>301</v>
      </c>
      <c r="J74" s="26"/>
      <c r="K74" s="26">
        <v>659</v>
      </c>
      <c r="L74" s="26">
        <v>84</v>
      </c>
      <c r="M74" s="26">
        <v>439</v>
      </c>
      <c r="N74" s="26"/>
      <c r="O74" s="26"/>
      <c r="P74" s="26"/>
      <c r="Q74" s="26"/>
      <c r="R74" s="26">
        <v>193</v>
      </c>
      <c r="S74" s="26">
        <v>366</v>
      </c>
      <c r="T74" s="26"/>
      <c r="U74">
        <f t="shared" si="2"/>
        <v>10</v>
      </c>
    </row>
    <row r="75" spans="1:21" x14ac:dyDescent="0.35">
      <c r="A75" t="s">
        <v>465</v>
      </c>
      <c r="B75" t="s">
        <v>463</v>
      </c>
      <c r="D75" s="26"/>
      <c r="E75" s="26"/>
      <c r="F75" s="26"/>
      <c r="G75" s="26"/>
      <c r="H75" s="26"/>
      <c r="I75" s="26"/>
      <c r="J75" s="26"/>
      <c r="K75" s="26"/>
      <c r="L75" s="26"/>
      <c r="M75" s="26"/>
      <c r="N75" s="26"/>
      <c r="O75" s="26"/>
      <c r="P75" s="26"/>
      <c r="Q75" s="26"/>
      <c r="R75" s="26" t="s">
        <v>656</v>
      </c>
      <c r="S75" s="26"/>
      <c r="T75" s="26"/>
      <c r="U75">
        <f t="shared" si="2"/>
        <v>0</v>
      </c>
    </row>
    <row r="76" spans="1:21" x14ac:dyDescent="0.35">
      <c r="A76" t="s">
        <v>472</v>
      </c>
      <c r="B76" t="s">
        <v>470</v>
      </c>
      <c r="D76" s="26">
        <v>70</v>
      </c>
      <c r="E76" s="26"/>
      <c r="F76" s="26">
        <v>207</v>
      </c>
      <c r="G76" s="26">
        <v>177</v>
      </c>
      <c r="H76" s="26"/>
      <c r="I76" s="26">
        <v>108</v>
      </c>
      <c r="J76" s="26"/>
      <c r="K76" s="26"/>
      <c r="L76" s="26"/>
      <c r="M76" s="26">
        <v>337</v>
      </c>
      <c r="N76" s="26"/>
      <c r="O76" s="26"/>
      <c r="P76" s="26"/>
      <c r="Q76" s="26"/>
      <c r="R76" s="26">
        <v>211</v>
      </c>
      <c r="S76" s="26"/>
      <c r="T76" s="26"/>
      <c r="U76">
        <f t="shared" si="2"/>
        <v>6</v>
      </c>
    </row>
    <row r="77" spans="1:21" x14ac:dyDescent="0.35">
      <c r="A77" t="s">
        <v>920</v>
      </c>
      <c r="B77" t="s">
        <v>487</v>
      </c>
      <c r="D77" s="26">
        <v>110</v>
      </c>
      <c r="E77" s="26"/>
      <c r="F77" s="26"/>
      <c r="G77" s="26"/>
      <c r="H77" s="26"/>
      <c r="I77" s="26"/>
      <c r="J77" s="26"/>
      <c r="K77" s="26"/>
      <c r="L77" s="26"/>
      <c r="M77" s="26"/>
      <c r="N77" s="26"/>
      <c r="O77" s="26"/>
      <c r="P77" s="26"/>
      <c r="Q77" s="26"/>
      <c r="R77" s="26">
        <v>226</v>
      </c>
      <c r="S77" s="26"/>
      <c r="T77" s="26"/>
      <c r="U77">
        <f t="shared" si="2"/>
        <v>2</v>
      </c>
    </row>
    <row r="78" spans="1:21" x14ac:dyDescent="0.35">
      <c r="A78" t="s">
        <v>913</v>
      </c>
      <c r="B78" t="s">
        <v>499</v>
      </c>
      <c r="D78" s="26"/>
      <c r="E78" s="26"/>
      <c r="F78" s="26"/>
      <c r="G78" s="26"/>
      <c r="H78" s="26"/>
      <c r="I78" s="26"/>
      <c r="J78" s="26"/>
      <c r="K78" s="26"/>
      <c r="L78" s="26">
        <v>345</v>
      </c>
      <c r="M78" s="26">
        <v>368</v>
      </c>
      <c r="N78" s="26"/>
      <c r="O78" s="26"/>
      <c r="P78" s="26"/>
      <c r="Q78" s="26"/>
      <c r="R78" s="26"/>
      <c r="S78" s="26"/>
      <c r="T78" s="26"/>
      <c r="U78">
        <f t="shared" si="2"/>
        <v>2</v>
      </c>
    </row>
    <row r="79" spans="1:21" x14ac:dyDescent="0.35">
      <c r="A79" t="s">
        <v>505</v>
      </c>
      <c r="B79" t="s">
        <v>503</v>
      </c>
      <c r="D79" s="26">
        <v>455</v>
      </c>
      <c r="E79" s="26"/>
      <c r="F79" s="26">
        <v>276</v>
      </c>
      <c r="G79" s="26">
        <v>263</v>
      </c>
      <c r="H79" s="26"/>
      <c r="I79" s="26">
        <v>300</v>
      </c>
      <c r="J79" s="26"/>
      <c r="K79" s="26">
        <v>666</v>
      </c>
      <c r="L79" s="26">
        <v>85</v>
      </c>
      <c r="M79" s="26">
        <v>375</v>
      </c>
      <c r="N79" s="26"/>
      <c r="O79" s="26"/>
      <c r="P79" s="26"/>
      <c r="Q79" s="26"/>
      <c r="R79" s="26"/>
      <c r="S79" s="26">
        <v>361</v>
      </c>
      <c r="T79" s="26"/>
      <c r="U79">
        <f t="shared" si="2"/>
        <v>8</v>
      </c>
    </row>
    <row r="80" spans="1:21" x14ac:dyDescent="0.35">
      <c r="A80" t="s">
        <v>510</v>
      </c>
      <c r="B80" t="s">
        <v>508</v>
      </c>
      <c r="D80" s="26"/>
      <c r="E80" s="26"/>
      <c r="F80" s="26"/>
      <c r="G80" s="26"/>
      <c r="H80" s="26">
        <v>734</v>
      </c>
      <c r="I80" s="26">
        <v>134</v>
      </c>
      <c r="J80" s="26"/>
      <c r="K80" s="26">
        <v>483</v>
      </c>
      <c r="L80" s="26"/>
      <c r="M80" s="26"/>
      <c r="N80" s="26">
        <v>467</v>
      </c>
      <c r="O80" s="26"/>
      <c r="P80" s="26">
        <v>168</v>
      </c>
      <c r="Q80" s="26"/>
      <c r="R80" s="26"/>
      <c r="S80" s="26">
        <v>140</v>
      </c>
      <c r="T80" s="26"/>
      <c r="U80">
        <f t="shared" si="2"/>
        <v>6</v>
      </c>
    </row>
    <row r="81" spans="1:21" x14ac:dyDescent="0.35">
      <c r="A81" t="s">
        <v>521</v>
      </c>
      <c r="B81" t="s">
        <v>519</v>
      </c>
      <c r="D81" s="26">
        <v>123</v>
      </c>
      <c r="E81" s="26"/>
      <c r="F81" s="26">
        <v>239</v>
      </c>
      <c r="G81" s="26">
        <v>223</v>
      </c>
      <c r="H81" s="26"/>
      <c r="I81" s="26"/>
      <c r="J81" s="26"/>
      <c r="K81" s="26"/>
      <c r="L81" s="26"/>
      <c r="M81" s="26">
        <v>394</v>
      </c>
      <c r="N81" s="26">
        <v>475</v>
      </c>
      <c r="O81" s="26"/>
      <c r="P81" s="26"/>
      <c r="Q81" s="26"/>
      <c r="R81" s="26">
        <v>229</v>
      </c>
      <c r="S81" s="26"/>
      <c r="T81" s="26"/>
      <c r="U81">
        <f t="shared" si="2"/>
        <v>6</v>
      </c>
    </row>
    <row r="82" spans="1:21" x14ac:dyDescent="0.35">
      <c r="A82" t="s">
        <v>441</v>
      </c>
      <c r="B82" t="s">
        <v>439</v>
      </c>
      <c r="D82" s="26">
        <v>170</v>
      </c>
      <c r="E82" s="26"/>
      <c r="F82" s="26">
        <v>277</v>
      </c>
      <c r="G82" s="26"/>
      <c r="H82" s="26"/>
      <c r="I82" s="26"/>
      <c r="J82" s="26"/>
      <c r="K82" s="26"/>
      <c r="L82" s="26"/>
      <c r="M82" s="26"/>
      <c r="N82" s="26"/>
      <c r="O82" s="26"/>
      <c r="P82" s="26"/>
      <c r="Q82" s="26"/>
      <c r="R82" s="26">
        <v>250</v>
      </c>
      <c r="S82" s="26"/>
      <c r="T82" s="26"/>
      <c r="U82">
        <f t="shared" si="2"/>
        <v>3</v>
      </c>
    </row>
    <row r="83" spans="1:21" x14ac:dyDescent="0.35">
      <c r="A83" t="s">
        <v>534</v>
      </c>
      <c r="B83" t="s">
        <v>532</v>
      </c>
      <c r="D83" s="26"/>
      <c r="E83" s="26"/>
      <c r="F83" s="26">
        <v>416</v>
      </c>
      <c r="G83" s="26">
        <v>326</v>
      </c>
      <c r="H83" s="26"/>
      <c r="I83" s="26">
        <v>233</v>
      </c>
      <c r="J83" s="26"/>
      <c r="K83" s="26">
        <v>608</v>
      </c>
      <c r="L83" s="26">
        <v>497</v>
      </c>
      <c r="M83" s="26">
        <v>450</v>
      </c>
      <c r="N83" s="26">
        <v>653</v>
      </c>
      <c r="O83" s="26"/>
      <c r="P83" s="26">
        <v>302</v>
      </c>
      <c r="Q83" s="26"/>
      <c r="R83" s="26"/>
      <c r="S83" s="26"/>
      <c r="T83" s="26"/>
      <c r="U83">
        <f t="shared" si="2"/>
        <v>8</v>
      </c>
    </row>
    <row r="84" spans="1:21" x14ac:dyDescent="0.35">
      <c r="A84" t="s">
        <v>540</v>
      </c>
      <c r="B84" t="s">
        <v>538</v>
      </c>
      <c r="D84" s="26">
        <v>354</v>
      </c>
      <c r="E84" s="26"/>
      <c r="F84" s="26">
        <v>508</v>
      </c>
      <c r="G84" s="26">
        <v>526</v>
      </c>
      <c r="H84" s="26"/>
      <c r="I84" s="26">
        <v>421</v>
      </c>
      <c r="J84" s="26"/>
      <c r="K84" s="26">
        <v>745</v>
      </c>
      <c r="L84" s="26"/>
      <c r="M84" s="26">
        <v>467</v>
      </c>
      <c r="N84" s="26"/>
      <c r="O84" s="26"/>
      <c r="P84" s="26">
        <v>438</v>
      </c>
      <c r="Q84" s="26"/>
      <c r="R84" s="26">
        <v>288</v>
      </c>
      <c r="S84" s="26"/>
      <c r="T84" s="26"/>
      <c r="U84">
        <f t="shared" si="2"/>
        <v>8</v>
      </c>
    </row>
    <row r="85" spans="1:21" x14ac:dyDescent="0.35">
      <c r="A85" t="s">
        <v>544</v>
      </c>
      <c r="B85" t="s">
        <v>542</v>
      </c>
      <c r="D85" s="26">
        <v>280</v>
      </c>
      <c r="E85" s="26"/>
      <c r="F85" s="26">
        <v>334</v>
      </c>
      <c r="G85" s="26">
        <v>421</v>
      </c>
      <c r="H85" s="26"/>
      <c r="I85" s="26">
        <v>379</v>
      </c>
      <c r="J85" s="26"/>
      <c r="K85" s="26">
        <v>688</v>
      </c>
      <c r="L85" s="26"/>
      <c r="M85" s="26">
        <v>422</v>
      </c>
      <c r="N85" s="26">
        <v>702</v>
      </c>
      <c r="O85" s="26"/>
      <c r="P85" s="26">
        <v>453</v>
      </c>
      <c r="Q85" s="26"/>
      <c r="R85" s="26"/>
      <c r="S85" s="26">
        <v>455</v>
      </c>
      <c r="T85" s="26"/>
      <c r="U85">
        <f t="shared" si="2"/>
        <v>9</v>
      </c>
    </row>
    <row r="86" spans="1:21" x14ac:dyDescent="0.35">
      <c r="A86" t="s">
        <v>550</v>
      </c>
      <c r="B86" t="s">
        <v>548</v>
      </c>
      <c r="D86" s="26">
        <v>382</v>
      </c>
      <c r="E86" s="26"/>
      <c r="F86" s="26">
        <v>498</v>
      </c>
      <c r="G86" s="26">
        <v>518</v>
      </c>
      <c r="H86" s="26"/>
      <c r="I86" s="26">
        <v>420</v>
      </c>
      <c r="J86" s="26"/>
      <c r="K86" s="26">
        <v>750</v>
      </c>
      <c r="L86" s="26">
        <v>230</v>
      </c>
      <c r="M86" s="26">
        <v>205</v>
      </c>
      <c r="N86" s="26"/>
      <c r="O86" s="26"/>
      <c r="P86" s="26">
        <v>444</v>
      </c>
      <c r="Q86" s="26"/>
      <c r="R86" s="26">
        <v>284</v>
      </c>
      <c r="S86" s="26">
        <v>453</v>
      </c>
      <c r="T86" s="26"/>
      <c r="U86">
        <f t="shared" si="2"/>
        <v>10</v>
      </c>
    </row>
    <row r="87" spans="1:21" x14ac:dyDescent="0.35">
      <c r="A87" t="s">
        <v>556</v>
      </c>
      <c r="B87" t="s">
        <v>554</v>
      </c>
      <c r="D87" s="26">
        <v>194</v>
      </c>
      <c r="E87" s="26"/>
      <c r="F87" s="26"/>
      <c r="G87" s="26">
        <v>312</v>
      </c>
      <c r="H87" s="26"/>
      <c r="I87" s="26">
        <v>248</v>
      </c>
      <c r="J87" s="26"/>
      <c r="K87" s="26">
        <v>625</v>
      </c>
      <c r="L87" s="26"/>
      <c r="M87" s="26">
        <v>322</v>
      </c>
      <c r="N87" s="26"/>
      <c r="O87" s="26"/>
      <c r="P87" s="26"/>
      <c r="Q87" s="26"/>
      <c r="R87" s="26"/>
      <c r="S87" s="26"/>
      <c r="T87" s="26"/>
      <c r="U87">
        <f t="shared" si="2"/>
        <v>5</v>
      </c>
    </row>
    <row r="88" spans="1:21" x14ac:dyDescent="0.35">
      <c r="A88" t="s">
        <v>562</v>
      </c>
      <c r="B88" t="s">
        <v>560</v>
      </c>
      <c r="D88" s="26">
        <v>141</v>
      </c>
      <c r="E88" s="26"/>
      <c r="F88" s="26">
        <v>252</v>
      </c>
      <c r="G88" s="26">
        <v>228</v>
      </c>
      <c r="H88" s="26"/>
      <c r="I88" s="26"/>
      <c r="J88" s="26"/>
      <c r="K88" s="26"/>
      <c r="L88" s="26">
        <v>266</v>
      </c>
      <c r="M88" s="26">
        <v>400</v>
      </c>
      <c r="N88" s="26"/>
      <c r="O88" s="26"/>
      <c r="P88" s="26"/>
      <c r="Q88" s="26"/>
      <c r="R88" s="26">
        <v>234</v>
      </c>
      <c r="S88" s="26"/>
      <c r="T88" s="26"/>
      <c r="U88">
        <f t="shared" si="2"/>
        <v>6</v>
      </c>
    </row>
    <row r="89" spans="1:21" x14ac:dyDescent="0.35">
      <c r="A89" t="s">
        <v>566</v>
      </c>
      <c r="B89" t="s">
        <v>564</v>
      </c>
      <c r="D89" s="26">
        <v>285</v>
      </c>
      <c r="E89" s="26"/>
      <c r="F89" s="26">
        <v>385</v>
      </c>
      <c r="G89" s="26">
        <v>430</v>
      </c>
      <c r="H89" s="26"/>
      <c r="I89" s="26">
        <v>418</v>
      </c>
      <c r="J89" s="26"/>
      <c r="K89" s="26">
        <v>730</v>
      </c>
      <c r="L89" s="26"/>
      <c r="M89" s="26">
        <v>446</v>
      </c>
      <c r="N89" s="26">
        <v>717</v>
      </c>
      <c r="O89" s="26"/>
      <c r="P89" s="26">
        <v>477</v>
      </c>
      <c r="Q89" s="26"/>
      <c r="R89" s="26">
        <v>285</v>
      </c>
      <c r="S89" s="26"/>
      <c r="T89" s="26"/>
      <c r="U89">
        <f t="shared" si="2"/>
        <v>9</v>
      </c>
    </row>
    <row r="90" spans="1:21" x14ac:dyDescent="0.35">
      <c r="A90" t="s">
        <v>530</v>
      </c>
      <c r="B90" t="s">
        <v>528</v>
      </c>
      <c r="D90" s="26">
        <v>213</v>
      </c>
      <c r="E90" s="26"/>
      <c r="F90" s="26">
        <v>413</v>
      </c>
      <c r="G90" s="26">
        <v>319</v>
      </c>
      <c r="H90" s="26"/>
      <c r="I90" s="26">
        <v>357</v>
      </c>
      <c r="J90" s="26"/>
      <c r="K90" s="26">
        <v>972</v>
      </c>
      <c r="L90" s="26">
        <v>96</v>
      </c>
      <c r="M90" s="26">
        <v>415</v>
      </c>
      <c r="N90" s="26"/>
      <c r="O90" s="26"/>
      <c r="P90" s="26">
        <v>437</v>
      </c>
      <c r="Q90" s="26"/>
      <c r="R90" s="26">
        <v>194</v>
      </c>
      <c r="S90" s="26">
        <v>395</v>
      </c>
      <c r="T90" s="26"/>
      <c r="U90">
        <f t="shared" si="2"/>
        <v>10</v>
      </c>
    </row>
    <row r="91" spans="1:21" x14ac:dyDescent="0.35">
      <c r="A91" t="s">
        <v>575</v>
      </c>
      <c r="B91" t="s">
        <v>573</v>
      </c>
      <c r="D91" s="26">
        <v>348</v>
      </c>
      <c r="E91" s="26"/>
      <c r="F91" s="26">
        <v>59</v>
      </c>
      <c r="G91" s="26">
        <v>34</v>
      </c>
      <c r="H91" s="26"/>
      <c r="I91" s="26">
        <v>453</v>
      </c>
      <c r="J91" s="26"/>
      <c r="K91" s="26">
        <v>820</v>
      </c>
      <c r="L91" s="26">
        <v>7</v>
      </c>
      <c r="M91" s="26">
        <v>456</v>
      </c>
      <c r="N91" s="26"/>
      <c r="O91" s="26"/>
      <c r="P91" s="26">
        <v>257</v>
      </c>
      <c r="Q91" s="26"/>
      <c r="R91" s="26">
        <v>298</v>
      </c>
      <c r="S91" s="26">
        <v>519</v>
      </c>
      <c r="T91" s="26"/>
      <c r="U91">
        <f t="shared" si="2"/>
        <v>10</v>
      </c>
    </row>
    <row r="92" spans="1:21" x14ac:dyDescent="0.35">
      <c r="A92" t="s">
        <v>580</v>
      </c>
      <c r="B92" t="s">
        <v>578</v>
      </c>
      <c r="D92" s="26">
        <v>377</v>
      </c>
      <c r="E92" s="26"/>
      <c r="F92" s="26">
        <v>494</v>
      </c>
      <c r="G92" s="26">
        <v>517</v>
      </c>
      <c r="H92" s="26"/>
      <c r="I92" s="26">
        <v>425</v>
      </c>
      <c r="J92" s="26"/>
      <c r="K92" s="26">
        <v>758</v>
      </c>
      <c r="L92" s="26"/>
      <c r="M92" s="26">
        <v>477</v>
      </c>
      <c r="N92" s="26">
        <v>838</v>
      </c>
      <c r="O92" s="26"/>
      <c r="P92" s="26">
        <v>435</v>
      </c>
      <c r="Q92" s="26"/>
      <c r="R92" s="26">
        <v>186</v>
      </c>
      <c r="S92" s="26"/>
      <c r="T92" s="26"/>
      <c r="U92">
        <f t="shared" si="2"/>
        <v>9</v>
      </c>
    </row>
    <row r="93" spans="1:21" x14ac:dyDescent="0.35">
      <c r="A93" t="s">
        <v>584</v>
      </c>
      <c r="B93" t="s">
        <v>582</v>
      </c>
      <c r="D93" s="26"/>
      <c r="E93" s="26">
        <v>61</v>
      </c>
      <c r="F93" s="26">
        <v>349</v>
      </c>
      <c r="G93" s="26">
        <v>399</v>
      </c>
      <c r="H93" s="26"/>
      <c r="I93" s="26">
        <v>375</v>
      </c>
      <c r="J93" s="26"/>
      <c r="K93" s="26">
        <v>694</v>
      </c>
      <c r="L93" s="26">
        <v>474</v>
      </c>
      <c r="M93" s="26">
        <v>409</v>
      </c>
      <c r="N93" s="26"/>
      <c r="O93" s="26"/>
      <c r="P93" s="26">
        <v>476</v>
      </c>
      <c r="Q93" s="26"/>
      <c r="R93" s="26"/>
      <c r="S93" s="26">
        <v>502</v>
      </c>
      <c r="T93" s="26"/>
      <c r="U93">
        <f t="shared" si="2"/>
        <v>9</v>
      </c>
    </row>
    <row r="94" spans="1:21" x14ac:dyDescent="0.35">
      <c r="A94" t="s">
        <v>589</v>
      </c>
      <c r="B94" t="s">
        <v>587</v>
      </c>
      <c r="D94" s="26">
        <v>351</v>
      </c>
      <c r="E94" s="26"/>
      <c r="F94" s="26">
        <v>65</v>
      </c>
      <c r="G94" s="26">
        <v>25</v>
      </c>
      <c r="H94" s="26"/>
      <c r="I94" s="26">
        <v>439</v>
      </c>
      <c r="J94" s="26"/>
      <c r="K94" s="26">
        <v>977</v>
      </c>
      <c r="L94" s="26">
        <v>436</v>
      </c>
      <c r="M94" s="26">
        <v>448</v>
      </c>
      <c r="N94" s="26"/>
      <c r="O94" s="26"/>
      <c r="P94" s="26">
        <v>253</v>
      </c>
      <c r="Q94" s="26"/>
      <c r="R94" s="26">
        <v>295</v>
      </c>
      <c r="S94" s="26"/>
      <c r="T94" s="26"/>
      <c r="U94">
        <f t="shared" si="2"/>
        <v>9</v>
      </c>
    </row>
    <row r="95" spans="1:21" x14ac:dyDescent="0.35">
      <c r="A95" t="s">
        <v>420</v>
      </c>
      <c r="B95" t="s">
        <v>418</v>
      </c>
      <c r="D95" s="26">
        <v>273</v>
      </c>
      <c r="E95" s="26"/>
      <c r="F95" s="26">
        <v>365</v>
      </c>
      <c r="G95" s="26"/>
      <c r="H95" s="26"/>
      <c r="I95" s="26"/>
      <c r="J95" s="26"/>
      <c r="K95" s="26"/>
      <c r="L95" s="26">
        <v>275</v>
      </c>
      <c r="M95" s="26">
        <v>255</v>
      </c>
      <c r="N95" s="26"/>
      <c r="O95" s="26"/>
      <c r="P95" s="26"/>
      <c r="Q95" s="26"/>
      <c r="R95" s="26">
        <v>195</v>
      </c>
      <c r="S95" s="26"/>
      <c r="T95" s="26"/>
      <c r="U95">
        <f t="shared" si="2"/>
        <v>5</v>
      </c>
    </row>
    <row r="96" spans="1:21" x14ac:dyDescent="0.35">
      <c r="A96" t="s">
        <v>596</v>
      </c>
      <c r="B96" t="s">
        <v>594</v>
      </c>
      <c r="D96" s="26">
        <v>193</v>
      </c>
      <c r="E96" s="26"/>
      <c r="F96" s="26">
        <v>425</v>
      </c>
      <c r="G96" s="26">
        <v>321</v>
      </c>
      <c r="H96" s="26"/>
      <c r="I96" s="26"/>
      <c r="J96" s="26"/>
      <c r="K96" s="26"/>
      <c r="L96" s="26"/>
      <c r="M96" s="26">
        <v>522</v>
      </c>
      <c r="N96" s="26"/>
      <c r="O96" s="26"/>
      <c r="P96" s="26"/>
      <c r="Q96" s="26"/>
      <c r="R96" s="26">
        <v>201</v>
      </c>
      <c r="S96" s="26"/>
      <c r="T96" s="26"/>
      <c r="U96">
        <f t="shared" si="2"/>
        <v>5</v>
      </c>
    </row>
    <row r="97" spans="1:21" x14ac:dyDescent="0.35">
      <c r="A97" t="s">
        <v>602</v>
      </c>
      <c r="B97" t="s">
        <v>600</v>
      </c>
      <c r="D97" s="26">
        <v>365</v>
      </c>
      <c r="E97" s="26"/>
      <c r="F97" s="26">
        <v>495</v>
      </c>
      <c r="G97" s="26">
        <v>524</v>
      </c>
      <c r="H97" s="26"/>
      <c r="I97" s="26">
        <v>406</v>
      </c>
      <c r="J97" s="26"/>
      <c r="K97" s="26">
        <v>734</v>
      </c>
      <c r="L97" s="26"/>
      <c r="M97" s="26">
        <v>524</v>
      </c>
      <c r="N97" s="26"/>
      <c r="O97" s="26"/>
      <c r="P97" s="26">
        <v>448</v>
      </c>
      <c r="Q97" s="26"/>
      <c r="R97" s="26">
        <v>291</v>
      </c>
      <c r="S97" s="26"/>
      <c r="T97" s="26"/>
      <c r="U97">
        <f t="shared" si="2"/>
        <v>8</v>
      </c>
    </row>
    <row r="98" spans="1:21" x14ac:dyDescent="0.35">
      <c r="A98" t="s">
        <v>607</v>
      </c>
      <c r="B98" t="s">
        <v>605</v>
      </c>
      <c r="D98" s="26">
        <v>381</v>
      </c>
      <c r="E98" s="26"/>
      <c r="F98" s="26">
        <v>511</v>
      </c>
      <c r="G98" s="26">
        <v>437</v>
      </c>
      <c r="H98" s="26"/>
      <c r="I98" s="26">
        <v>414</v>
      </c>
      <c r="J98" s="26"/>
      <c r="K98" s="26">
        <v>714</v>
      </c>
      <c r="L98" s="26">
        <v>282</v>
      </c>
      <c r="M98" s="26">
        <v>261</v>
      </c>
      <c r="N98" s="26"/>
      <c r="O98" s="26"/>
      <c r="P98" s="26">
        <v>447</v>
      </c>
      <c r="Q98" s="26"/>
      <c r="R98" s="26"/>
      <c r="S98" s="26">
        <v>450</v>
      </c>
      <c r="T98" s="26"/>
      <c r="U98">
        <f t="shared" ref="U98:U116" si="3">COUNT(D98:T98)</f>
        <v>9</v>
      </c>
    </row>
    <row r="99" spans="1:21" x14ac:dyDescent="0.35">
      <c r="A99" t="s">
        <v>450</v>
      </c>
      <c r="B99" t="s">
        <v>448</v>
      </c>
      <c r="D99" s="26">
        <v>407</v>
      </c>
      <c r="E99" s="26"/>
      <c r="F99" s="26">
        <v>527</v>
      </c>
      <c r="G99" s="26"/>
      <c r="H99" s="26"/>
      <c r="I99" s="26"/>
      <c r="J99" s="26"/>
      <c r="K99" s="26"/>
      <c r="L99" s="26">
        <v>587</v>
      </c>
      <c r="M99" s="26">
        <v>238</v>
      </c>
      <c r="N99" s="26"/>
      <c r="O99" s="26"/>
      <c r="P99" s="26"/>
      <c r="Q99" s="26"/>
      <c r="R99" s="26">
        <v>259</v>
      </c>
      <c r="S99" s="26"/>
      <c r="T99" s="26"/>
      <c r="U99">
        <f t="shared" si="3"/>
        <v>5</v>
      </c>
    </row>
    <row r="100" spans="1:21" x14ac:dyDescent="0.35">
      <c r="A100" t="s">
        <v>612</v>
      </c>
      <c r="B100" t="s">
        <v>610</v>
      </c>
      <c r="D100" s="26">
        <v>426</v>
      </c>
      <c r="E100" s="26"/>
      <c r="F100" s="26">
        <v>532</v>
      </c>
      <c r="G100" s="26">
        <v>407</v>
      </c>
      <c r="H100" s="26"/>
      <c r="I100" s="26"/>
      <c r="J100" s="26"/>
      <c r="K100" s="26"/>
      <c r="L100" s="26"/>
      <c r="M100" s="26">
        <v>535</v>
      </c>
      <c r="N100" s="26"/>
      <c r="O100" s="26"/>
      <c r="P100" s="26"/>
      <c r="Q100" s="26"/>
      <c r="R100" s="26">
        <v>255</v>
      </c>
      <c r="S100" s="26"/>
      <c r="T100" s="26"/>
      <c r="U100">
        <f t="shared" si="3"/>
        <v>5</v>
      </c>
    </row>
    <row r="101" spans="1:21" x14ac:dyDescent="0.35">
      <c r="A101" t="s">
        <v>616</v>
      </c>
      <c r="B101" t="s">
        <v>614</v>
      </c>
      <c r="D101" s="26">
        <v>151</v>
      </c>
      <c r="E101" s="26"/>
      <c r="F101" s="26"/>
      <c r="G101" s="26">
        <v>272</v>
      </c>
      <c r="H101" s="26"/>
      <c r="I101" s="26">
        <v>187</v>
      </c>
      <c r="J101" s="26"/>
      <c r="K101" s="26">
        <v>346</v>
      </c>
      <c r="L101" s="26"/>
      <c r="M101" s="26">
        <v>107</v>
      </c>
      <c r="N101" s="26">
        <v>317</v>
      </c>
      <c r="O101" s="26"/>
      <c r="P101" s="26">
        <v>20</v>
      </c>
      <c r="Q101" s="26"/>
      <c r="R101" s="26"/>
      <c r="S101" s="26"/>
      <c r="T101" s="26"/>
      <c r="U101">
        <f t="shared" si="3"/>
        <v>7</v>
      </c>
    </row>
    <row r="102" spans="1:21" x14ac:dyDescent="0.35">
      <c r="A102" t="s">
        <v>621</v>
      </c>
      <c r="B102" t="s">
        <v>619</v>
      </c>
      <c r="D102" s="26"/>
      <c r="E102" s="26">
        <v>80</v>
      </c>
      <c r="F102" s="26"/>
      <c r="G102" s="26">
        <v>477</v>
      </c>
      <c r="H102" s="26"/>
      <c r="I102" s="26">
        <v>293</v>
      </c>
      <c r="J102" s="26"/>
      <c r="K102" s="26">
        <v>647</v>
      </c>
      <c r="L102" s="26"/>
      <c r="M102" s="26">
        <v>212</v>
      </c>
      <c r="N102" s="26">
        <v>861</v>
      </c>
      <c r="O102" s="26"/>
      <c r="P102" s="26">
        <v>536</v>
      </c>
      <c r="Q102" s="26"/>
      <c r="R102" s="26"/>
      <c r="S102" s="26"/>
      <c r="T102" s="26"/>
      <c r="U102">
        <f t="shared" si="3"/>
        <v>7</v>
      </c>
    </row>
    <row r="103" spans="1:21" x14ac:dyDescent="0.35">
      <c r="A103" t="s">
        <v>629</v>
      </c>
      <c r="B103" t="s">
        <v>627</v>
      </c>
      <c r="D103" s="26">
        <v>424</v>
      </c>
      <c r="E103" s="26"/>
      <c r="F103" s="26">
        <v>547</v>
      </c>
      <c r="G103" s="26">
        <v>589</v>
      </c>
      <c r="H103" s="26"/>
      <c r="I103" s="26">
        <v>268</v>
      </c>
      <c r="J103" s="26"/>
      <c r="K103" s="26">
        <v>679</v>
      </c>
      <c r="L103" s="26">
        <v>596</v>
      </c>
      <c r="M103" s="26">
        <v>526</v>
      </c>
      <c r="N103" s="26"/>
      <c r="O103" s="26"/>
      <c r="P103" s="26">
        <v>554</v>
      </c>
      <c r="Q103" s="26"/>
      <c r="R103" s="26"/>
      <c r="S103" s="26"/>
      <c r="T103" s="26"/>
      <c r="U103">
        <f t="shared" si="3"/>
        <v>8</v>
      </c>
    </row>
    <row r="104" spans="1:21" x14ac:dyDescent="0.35">
      <c r="A104" t="s">
        <v>339</v>
      </c>
      <c r="B104" t="s">
        <v>337</v>
      </c>
      <c r="D104" s="26"/>
      <c r="E104" s="26"/>
      <c r="F104" s="26">
        <v>133</v>
      </c>
      <c r="G104" s="26">
        <v>60</v>
      </c>
      <c r="H104" s="26">
        <v>704</v>
      </c>
      <c r="I104" s="26">
        <v>18</v>
      </c>
      <c r="J104" s="26"/>
      <c r="K104" s="26">
        <v>345</v>
      </c>
      <c r="L104" s="26">
        <v>164</v>
      </c>
      <c r="M104" s="26">
        <v>96</v>
      </c>
      <c r="N104" s="26">
        <v>318</v>
      </c>
      <c r="O104" s="26"/>
      <c r="P104" s="26">
        <v>15</v>
      </c>
      <c r="Q104" s="26"/>
      <c r="R104" s="26">
        <v>158</v>
      </c>
      <c r="S104" s="26">
        <v>37</v>
      </c>
      <c r="T104" s="26">
        <v>26</v>
      </c>
      <c r="U104">
        <f t="shared" si="3"/>
        <v>12</v>
      </c>
    </row>
    <row r="105" spans="1:21" x14ac:dyDescent="0.35">
      <c r="A105" t="s">
        <v>345</v>
      </c>
      <c r="B105" t="s">
        <v>343</v>
      </c>
      <c r="D105" s="26"/>
      <c r="E105" s="26"/>
      <c r="F105" s="26"/>
      <c r="G105" s="26">
        <v>62</v>
      </c>
      <c r="H105" s="26"/>
      <c r="I105" s="26">
        <v>31</v>
      </c>
      <c r="J105" s="26"/>
      <c r="K105" s="26">
        <v>357</v>
      </c>
      <c r="L105" s="26">
        <v>172</v>
      </c>
      <c r="M105" s="26">
        <v>110</v>
      </c>
      <c r="N105" s="26">
        <v>327</v>
      </c>
      <c r="O105" s="26"/>
      <c r="P105" s="26">
        <v>23</v>
      </c>
      <c r="Q105" s="26"/>
      <c r="R105" s="26" t="s">
        <v>903</v>
      </c>
      <c r="S105" s="26">
        <v>34</v>
      </c>
      <c r="T105" s="26"/>
      <c r="U105">
        <f t="shared" si="3"/>
        <v>8</v>
      </c>
    </row>
    <row r="106" spans="1:21" x14ac:dyDescent="0.35">
      <c r="A106" t="s">
        <v>408</v>
      </c>
      <c r="B106" t="s">
        <v>406</v>
      </c>
      <c r="D106" s="26"/>
      <c r="E106" s="26"/>
      <c r="F106" s="26"/>
      <c r="G106" s="26">
        <v>98</v>
      </c>
      <c r="H106" s="26">
        <v>721</v>
      </c>
      <c r="I106" s="26">
        <v>36</v>
      </c>
      <c r="J106" s="26"/>
      <c r="K106" s="26">
        <v>384</v>
      </c>
      <c r="L106" s="26"/>
      <c r="M106" s="26">
        <v>181</v>
      </c>
      <c r="N106" s="26">
        <v>358</v>
      </c>
      <c r="O106" s="26"/>
      <c r="P106" s="26">
        <v>35</v>
      </c>
      <c r="Q106" s="26"/>
      <c r="R106" s="26">
        <v>166</v>
      </c>
      <c r="S106" s="26">
        <v>42</v>
      </c>
      <c r="T106" s="26">
        <v>28</v>
      </c>
      <c r="U106">
        <f t="shared" si="3"/>
        <v>10</v>
      </c>
    </row>
    <row r="107" spans="1:21" x14ac:dyDescent="0.35">
      <c r="A107" t="s">
        <v>423</v>
      </c>
      <c r="B107" t="s">
        <v>421</v>
      </c>
      <c r="D107" s="26"/>
      <c r="E107" s="26"/>
      <c r="F107" s="26"/>
      <c r="G107" s="26"/>
      <c r="H107" s="26"/>
      <c r="I107" s="26">
        <v>74</v>
      </c>
      <c r="J107" s="26"/>
      <c r="K107" s="26">
        <v>401</v>
      </c>
      <c r="L107" s="26"/>
      <c r="M107" s="26"/>
      <c r="N107" s="26"/>
      <c r="O107" s="26"/>
      <c r="P107" s="26"/>
      <c r="Q107" s="26"/>
      <c r="R107" s="26"/>
      <c r="S107" s="26">
        <v>83</v>
      </c>
      <c r="T107" s="26"/>
      <c r="U107">
        <f t="shared" si="3"/>
        <v>3</v>
      </c>
    </row>
    <row r="108" spans="1:21" x14ac:dyDescent="0.35">
      <c r="A108" t="s">
        <v>437</v>
      </c>
      <c r="B108" t="s">
        <v>435</v>
      </c>
      <c r="D108" s="26"/>
      <c r="E108" s="26"/>
      <c r="F108" s="26"/>
      <c r="G108" s="26"/>
      <c r="H108" s="26">
        <v>723</v>
      </c>
      <c r="I108" s="26">
        <v>87</v>
      </c>
      <c r="J108" s="26"/>
      <c r="K108" s="26">
        <v>413</v>
      </c>
      <c r="L108" s="26">
        <v>253</v>
      </c>
      <c r="M108" s="26">
        <v>223</v>
      </c>
      <c r="N108" s="26">
        <v>391</v>
      </c>
      <c r="O108" s="26"/>
      <c r="P108" s="26">
        <v>96</v>
      </c>
      <c r="Q108" s="26">
        <v>720</v>
      </c>
      <c r="R108" s="26"/>
      <c r="S108" s="26">
        <v>80</v>
      </c>
      <c r="T108" s="26"/>
      <c r="U108">
        <f t="shared" si="3"/>
        <v>9</v>
      </c>
    </row>
    <row r="109" spans="1:21" x14ac:dyDescent="0.35">
      <c r="A109" t="s">
        <v>476</v>
      </c>
      <c r="B109" t="s">
        <v>474</v>
      </c>
      <c r="D109" s="26"/>
      <c r="E109" s="26"/>
      <c r="F109" s="26"/>
      <c r="G109" s="26">
        <v>168</v>
      </c>
      <c r="H109" s="26" t="s">
        <v>904</v>
      </c>
      <c r="I109" s="26" t="s">
        <v>905</v>
      </c>
      <c r="J109" s="26"/>
      <c r="K109" s="26">
        <v>455</v>
      </c>
      <c r="L109" s="26"/>
      <c r="M109" s="26">
        <v>273</v>
      </c>
      <c r="N109" s="26"/>
      <c r="O109" s="26"/>
      <c r="P109" s="26"/>
      <c r="Q109" s="26"/>
      <c r="R109" s="26">
        <v>204</v>
      </c>
      <c r="S109" s="26" t="s">
        <v>906</v>
      </c>
      <c r="T109" s="26">
        <v>38</v>
      </c>
      <c r="U109">
        <f t="shared" si="3"/>
        <v>5</v>
      </c>
    </row>
    <row r="110" spans="1:21" x14ac:dyDescent="0.35">
      <c r="A110" t="s">
        <v>483</v>
      </c>
      <c r="B110" t="s">
        <v>481</v>
      </c>
      <c r="D110" s="26"/>
      <c r="E110" s="26"/>
      <c r="F110" s="26"/>
      <c r="G110" s="26"/>
      <c r="H110" s="26">
        <v>728</v>
      </c>
      <c r="I110" s="26">
        <v>117</v>
      </c>
      <c r="J110" s="26"/>
      <c r="K110" s="26">
        <v>454</v>
      </c>
      <c r="L110" s="26"/>
      <c r="M110" s="26">
        <v>298</v>
      </c>
      <c r="N110" s="26">
        <v>419</v>
      </c>
      <c r="O110" s="26"/>
      <c r="P110" s="26">
        <v>122</v>
      </c>
      <c r="Q110" s="26"/>
      <c r="R110" s="26" t="s">
        <v>907</v>
      </c>
      <c r="S110" s="26">
        <v>118</v>
      </c>
      <c r="T110" s="26">
        <v>92</v>
      </c>
      <c r="U110">
        <f t="shared" si="3"/>
        <v>8</v>
      </c>
    </row>
    <row r="111" spans="1:21" x14ac:dyDescent="0.35">
      <c r="A111" t="s">
        <v>393</v>
      </c>
      <c r="B111" t="s">
        <v>391</v>
      </c>
      <c r="D111" s="26">
        <v>15</v>
      </c>
      <c r="E111" s="26"/>
      <c r="F111" s="26">
        <v>148</v>
      </c>
      <c r="G111" s="26">
        <v>104</v>
      </c>
      <c r="H111" s="26">
        <v>709</v>
      </c>
      <c r="I111" s="26">
        <v>43</v>
      </c>
      <c r="J111" s="26"/>
      <c r="K111" s="26">
        <v>385</v>
      </c>
      <c r="L111" s="26">
        <v>291</v>
      </c>
      <c r="M111" s="26">
        <v>267</v>
      </c>
      <c r="N111" s="26"/>
      <c r="O111" s="26"/>
      <c r="P111" s="26">
        <v>39</v>
      </c>
      <c r="Q111" s="26"/>
      <c r="R111" s="26">
        <v>169</v>
      </c>
      <c r="S111" s="26">
        <v>64</v>
      </c>
      <c r="T111" s="26">
        <v>27</v>
      </c>
      <c r="U111">
        <f t="shared" si="3"/>
        <v>12</v>
      </c>
    </row>
    <row r="112" spans="1:21" x14ac:dyDescent="0.35">
      <c r="A112" t="s">
        <v>634</v>
      </c>
      <c r="B112" t="s">
        <v>632</v>
      </c>
      <c r="D112" s="26"/>
      <c r="E112" s="26"/>
      <c r="F112" s="26"/>
      <c r="G112" s="26">
        <v>273</v>
      </c>
      <c r="H112" s="26"/>
      <c r="I112" s="26">
        <v>188</v>
      </c>
      <c r="J112" s="26"/>
      <c r="K112" s="26">
        <v>969</v>
      </c>
      <c r="L112" s="26"/>
      <c r="M112" s="26"/>
      <c r="N112" s="26"/>
      <c r="O112" s="26"/>
      <c r="P112" s="26"/>
      <c r="Q112" s="26"/>
      <c r="R112" s="26">
        <v>174</v>
      </c>
      <c r="S112" s="26"/>
      <c r="T112" s="26"/>
      <c r="U112">
        <f t="shared" si="3"/>
        <v>4</v>
      </c>
    </row>
    <row r="113" spans="1:21" x14ac:dyDescent="0.35">
      <c r="A113" t="s">
        <v>515</v>
      </c>
      <c r="B113" t="s">
        <v>513</v>
      </c>
      <c r="D113" s="26"/>
      <c r="E113" s="26"/>
      <c r="F113" s="26">
        <v>235</v>
      </c>
      <c r="G113" s="26">
        <v>212</v>
      </c>
      <c r="H113" s="26"/>
      <c r="I113" s="26">
        <v>149</v>
      </c>
      <c r="J113" s="26"/>
      <c r="K113" s="26">
        <v>493</v>
      </c>
      <c r="L113" s="26"/>
      <c r="M113" s="26">
        <v>389</v>
      </c>
      <c r="N113" s="26">
        <v>472</v>
      </c>
      <c r="O113" s="26"/>
      <c r="P113" s="26">
        <v>171</v>
      </c>
      <c r="Q113" s="26"/>
      <c r="R113" s="26"/>
      <c r="S113" s="26">
        <v>157</v>
      </c>
      <c r="T113" s="26"/>
      <c r="U113">
        <f t="shared" si="3"/>
        <v>8</v>
      </c>
    </row>
    <row r="114" spans="1:21" x14ac:dyDescent="0.35">
      <c r="A114" t="s">
        <v>385</v>
      </c>
      <c r="B114" t="s">
        <v>383</v>
      </c>
      <c r="D114" s="26"/>
      <c r="E114" s="26"/>
      <c r="F114" s="26"/>
      <c r="G114" s="26">
        <v>115</v>
      </c>
      <c r="H114" s="26"/>
      <c r="I114" s="26"/>
      <c r="J114" s="26"/>
      <c r="K114" s="26"/>
      <c r="L114" s="26"/>
      <c r="M114" s="26">
        <v>157</v>
      </c>
      <c r="N114" s="26"/>
      <c r="O114" s="26"/>
      <c r="P114" s="26"/>
      <c r="Q114" s="26"/>
      <c r="R114" s="26">
        <v>177</v>
      </c>
      <c r="S114" s="26"/>
      <c r="T114" s="26"/>
      <c r="U114">
        <f t="shared" si="3"/>
        <v>3</v>
      </c>
    </row>
    <row r="115" spans="1:21" x14ac:dyDescent="0.35">
      <c r="A115" t="s">
        <v>494</v>
      </c>
      <c r="B115" t="s">
        <v>492</v>
      </c>
      <c r="D115" s="26"/>
      <c r="E115" s="26"/>
      <c r="F115" s="26"/>
      <c r="G115" s="26">
        <v>208</v>
      </c>
      <c r="H115" s="26">
        <v>735</v>
      </c>
      <c r="I115" s="26">
        <v>130</v>
      </c>
      <c r="J115" s="26"/>
      <c r="K115" s="26" t="s">
        <v>908</v>
      </c>
      <c r="L115" s="26"/>
      <c r="M115" s="26">
        <v>366</v>
      </c>
      <c r="N115" s="26" t="s">
        <v>909</v>
      </c>
      <c r="O115" s="26"/>
      <c r="P115" s="26">
        <v>165</v>
      </c>
      <c r="Q115" s="26"/>
      <c r="R115" s="26"/>
      <c r="S115" s="26">
        <v>139</v>
      </c>
      <c r="T115" s="26"/>
      <c r="U115">
        <f t="shared" si="3"/>
        <v>6</v>
      </c>
    </row>
    <row r="116" spans="1:21" x14ac:dyDescent="0.35">
      <c r="A116" t="s">
        <v>912</v>
      </c>
      <c r="B116" t="s">
        <v>910</v>
      </c>
      <c r="J116">
        <v>852</v>
      </c>
      <c r="K116">
        <v>630</v>
      </c>
      <c r="T116">
        <v>52</v>
      </c>
      <c r="U116">
        <f t="shared" si="3"/>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tabSelected="1" workbookViewId="0">
      <selection activeCell="B15" sqref="B15"/>
    </sheetView>
  </sheetViews>
  <sheetFormatPr defaultRowHeight="14.5" x14ac:dyDescent="0.35"/>
  <cols>
    <col min="1" max="1" width="13.1796875" bestFit="1" customWidth="1"/>
    <col min="2" max="2" width="255.54296875" bestFit="1" customWidth="1"/>
  </cols>
  <sheetData>
    <row r="1" spans="1:2" x14ac:dyDescent="0.35">
      <c r="A1" s="31" t="s">
        <v>291</v>
      </c>
      <c r="B1" s="31" t="s">
        <v>3</v>
      </c>
    </row>
    <row r="2" spans="1:2" x14ac:dyDescent="0.35">
      <c r="A2">
        <v>1</v>
      </c>
      <c r="B2" t="s">
        <v>292</v>
      </c>
    </row>
    <row r="3" spans="1:2" x14ac:dyDescent="0.35">
      <c r="A3">
        <v>2</v>
      </c>
      <c r="B3" t="s">
        <v>293</v>
      </c>
    </row>
    <row r="4" spans="1:2" ht="91" customHeight="1" x14ac:dyDescent="0.35">
      <c r="A4">
        <v>3</v>
      </c>
      <c r="B4" s="4" t="s">
        <v>650</v>
      </c>
    </row>
    <row r="5" spans="1:2" x14ac:dyDescent="0.35">
      <c r="A5">
        <v>4</v>
      </c>
      <c r="B5" t="s">
        <v>294</v>
      </c>
    </row>
    <row r="6" spans="1:2" x14ac:dyDescent="0.35">
      <c r="A6">
        <v>5</v>
      </c>
      <c r="B6" t="s">
        <v>295</v>
      </c>
    </row>
    <row r="7" spans="1:2" x14ac:dyDescent="0.35">
      <c r="A7">
        <v>6</v>
      </c>
      <c r="B7" t="s">
        <v>296</v>
      </c>
    </row>
    <row r="8" spans="1:2" x14ac:dyDescent="0.35">
      <c r="A8">
        <v>7</v>
      </c>
      <c r="B8" t="s">
        <v>297</v>
      </c>
    </row>
    <row r="10" spans="1:2" x14ac:dyDescent="0.35">
      <c r="A10" s="31" t="s">
        <v>978</v>
      </c>
      <c r="B10" t="s">
        <v>984</v>
      </c>
    </row>
    <row r="11" spans="1:2" x14ac:dyDescent="0.35">
      <c r="B11" t="s">
        <v>979</v>
      </c>
    </row>
    <row r="12" spans="1:2" x14ac:dyDescent="0.35">
      <c r="B12" t="s">
        <v>981</v>
      </c>
    </row>
    <row r="13" spans="1:2" x14ac:dyDescent="0.35">
      <c r="B13" t="s">
        <v>980</v>
      </c>
    </row>
    <row r="14" spans="1:2" x14ac:dyDescent="0.35">
      <c r="B14" t="s">
        <v>982</v>
      </c>
    </row>
    <row r="15" spans="1:2" x14ac:dyDescent="0.35">
      <c r="B15" t="s">
        <v>985</v>
      </c>
    </row>
    <row r="16" spans="1:2" x14ac:dyDescent="0.35">
      <c r="B16" s="31" t="s">
        <v>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7"/>
  <sheetViews>
    <sheetView workbookViewId="0">
      <pane xSplit="4" ySplit="1" topLeftCell="E2" activePane="bottomRight" state="frozen"/>
      <selection pane="topRight"/>
      <selection pane="bottomLeft"/>
      <selection pane="bottomRight" activeCell="C35" sqref="C35"/>
    </sheetView>
  </sheetViews>
  <sheetFormatPr defaultRowHeight="14.5" x14ac:dyDescent="0.35"/>
  <cols>
    <col min="1" max="1" width="24" customWidth="1"/>
    <col min="2" max="2" width="58" customWidth="1"/>
    <col min="3" max="3" width="44" customWidth="1"/>
    <col min="4" max="4" width="9.453125" bestFit="1" customWidth="1"/>
    <col min="5" max="8" width="8" customWidth="1"/>
    <col min="9" max="9" width="18" customWidth="1"/>
    <col min="10" max="10" width="10" customWidth="1"/>
    <col min="11" max="11" width="8" customWidth="1"/>
    <col min="12" max="12" width="10" customWidth="1"/>
    <col min="13" max="13" width="8" customWidth="1"/>
    <col min="14" max="14" width="11" customWidth="1"/>
    <col min="15" max="15" width="10" customWidth="1"/>
    <col min="16" max="16" width="8" customWidth="1"/>
    <col min="17" max="17" width="10" customWidth="1"/>
    <col min="18" max="18" width="8" customWidth="1"/>
    <col min="19" max="20" width="10" customWidth="1"/>
    <col min="21" max="21" width="8" customWidth="1"/>
  </cols>
  <sheetData>
    <row r="1" spans="1:21"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16</v>
      </c>
      <c r="P1" s="2" t="s">
        <v>15</v>
      </c>
      <c r="Q1" s="2" t="s">
        <v>14</v>
      </c>
      <c r="R1" s="2" t="s">
        <v>17</v>
      </c>
      <c r="S1" s="2" t="s">
        <v>18</v>
      </c>
      <c r="T1" s="2" t="s">
        <v>19</v>
      </c>
      <c r="U1" s="2" t="s">
        <v>20</v>
      </c>
    </row>
    <row r="2" spans="1:21" x14ac:dyDescent="0.35">
      <c r="A2" s="3" t="s">
        <v>22</v>
      </c>
    </row>
    <row r="3" spans="1:21" x14ac:dyDescent="0.35">
      <c r="A3" s="4" t="s">
        <v>23</v>
      </c>
      <c r="B3" s="4" t="s">
        <v>220</v>
      </c>
      <c r="C3" s="4" t="s">
        <v>221</v>
      </c>
      <c r="D3" s="5">
        <v>1</v>
      </c>
      <c r="E3" s="5"/>
      <c r="F3" s="5"/>
      <c r="G3" s="5"/>
      <c r="H3" s="5"/>
      <c r="I3" s="5"/>
      <c r="J3" s="5"/>
      <c r="K3" s="5"/>
      <c r="L3" s="5"/>
      <c r="M3" s="5">
        <v>43</v>
      </c>
      <c r="N3" s="5"/>
      <c r="O3" s="5"/>
      <c r="P3" s="5"/>
      <c r="Q3" s="5"/>
      <c r="R3" s="5"/>
      <c r="S3" s="5"/>
      <c r="T3" s="5"/>
      <c r="U3" s="5"/>
    </row>
    <row r="4" spans="1:21" x14ac:dyDescent="0.35">
      <c r="A4" s="4" t="s">
        <v>23</v>
      </c>
      <c r="B4" s="4" t="s">
        <v>222</v>
      </c>
      <c r="C4" s="4" t="s">
        <v>223</v>
      </c>
      <c r="D4" s="5">
        <v>1</v>
      </c>
      <c r="E4" s="5">
        <v>7</v>
      </c>
      <c r="F4" s="5"/>
      <c r="G4" s="5"/>
      <c r="H4" s="5">
        <v>6</v>
      </c>
      <c r="I4" s="5"/>
      <c r="J4" s="5">
        <v>209</v>
      </c>
      <c r="K4" s="5"/>
      <c r="L4" s="5">
        <v>942</v>
      </c>
      <c r="M4" s="5"/>
      <c r="N4" s="5">
        <v>34</v>
      </c>
      <c r="O4" s="5">
        <v>934</v>
      </c>
      <c r="P4" s="5"/>
      <c r="Q4" s="5">
        <v>266</v>
      </c>
      <c r="R4" s="5"/>
      <c r="S4" s="5"/>
      <c r="T4" s="5">
        <v>168</v>
      </c>
      <c r="U4" s="5"/>
    </row>
    <row r="5" spans="1:21" x14ac:dyDescent="0.35">
      <c r="A5" s="4" t="s">
        <v>23</v>
      </c>
      <c r="B5" s="4" t="s">
        <v>224</v>
      </c>
      <c r="C5" s="4" t="s">
        <v>225</v>
      </c>
      <c r="D5" s="5"/>
      <c r="E5" s="5"/>
      <c r="F5" s="5"/>
      <c r="G5" s="5"/>
      <c r="H5" s="5"/>
      <c r="I5" s="5"/>
      <c r="J5" s="5"/>
      <c r="K5" s="5"/>
      <c r="L5" s="5"/>
      <c r="M5" s="5"/>
      <c r="N5" s="5"/>
      <c r="O5" s="5"/>
      <c r="P5" s="5"/>
      <c r="Q5" s="5"/>
      <c r="R5" s="5"/>
      <c r="S5" s="5"/>
      <c r="T5" s="5"/>
      <c r="U5" s="5"/>
    </row>
    <row r="6" spans="1:21" x14ac:dyDescent="0.35">
      <c r="A6" s="4" t="s">
        <v>23</v>
      </c>
      <c r="B6" s="4" t="s">
        <v>226</v>
      </c>
      <c r="C6" s="4" t="s">
        <v>227</v>
      </c>
      <c r="D6" s="5"/>
      <c r="E6" s="5"/>
      <c r="F6" s="5"/>
      <c r="G6" s="5"/>
      <c r="H6" s="5"/>
      <c r="I6" s="5"/>
      <c r="J6" s="5"/>
      <c r="K6" s="5"/>
      <c r="L6" s="5"/>
      <c r="M6" s="5"/>
      <c r="N6" s="5"/>
      <c r="O6" s="5"/>
      <c r="P6" s="5"/>
      <c r="Q6" s="5"/>
      <c r="R6" s="5"/>
      <c r="S6" s="5"/>
      <c r="T6" s="5"/>
      <c r="U6" s="5"/>
    </row>
    <row r="7" spans="1:21" x14ac:dyDescent="0.35">
      <c r="A7" s="4" t="s">
        <v>23</v>
      </c>
      <c r="B7" s="4" t="s">
        <v>228</v>
      </c>
      <c r="C7" s="4" t="s">
        <v>229</v>
      </c>
      <c r="D7" s="5"/>
      <c r="E7" s="5"/>
      <c r="F7" s="5"/>
      <c r="G7" s="5"/>
      <c r="H7" s="5"/>
      <c r="I7" s="5"/>
      <c r="J7" s="5"/>
      <c r="K7" s="5"/>
      <c r="L7" s="5"/>
      <c r="M7" s="5"/>
      <c r="N7" s="5"/>
      <c r="O7" s="5"/>
      <c r="P7" s="5"/>
      <c r="Q7" s="5"/>
      <c r="R7" s="5"/>
      <c r="S7" s="5"/>
      <c r="T7" s="5"/>
      <c r="U7" s="5"/>
    </row>
    <row r="8" spans="1:21" x14ac:dyDescent="0.35">
      <c r="A8" s="4" t="s">
        <v>25</v>
      </c>
      <c r="B8" s="4" t="s">
        <v>26</v>
      </c>
      <c r="C8" s="4" t="s">
        <v>27</v>
      </c>
      <c r="D8" s="5"/>
      <c r="E8" s="5">
        <v>1</v>
      </c>
      <c r="F8" s="5"/>
      <c r="G8" s="5">
        <v>261</v>
      </c>
      <c r="H8" s="5">
        <v>237</v>
      </c>
      <c r="I8" s="5"/>
      <c r="J8" s="5">
        <v>215</v>
      </c>
      <c r="K8" s="5"/>
      <c r="L8" s="5">
        <v>947</v>
      </c>
      <c r="M8" s="5">
        <v>2</v>
      </c>
      <c r="N8" s="5">
        <v>35</v>
      </c>
      <c r="O8" s="5">
        <v>935</v>
      </c>
      <c r="P8" s="5"/>
      <c r="Q8" s="5">
        <v>263</v>
      </c>
      <c r="R8" s="5"/>
      <c r="S8" s="5"/>
      <c r="T8" s="5">
        <v>166</v>
      </c>
      <c r="U8" s="5"/>
    </row>
    <row r="9" spans="1:21" x14ac:dyDescent="0.35">
      <c r="A9" s="4" t="s">
        <v>25</v>
      </c>
      <c r="B9" s="4" t="s">
        <v>28</v>
      </c>
      <c r="C9" s="4" t="s">
        <v>29</v>
      </c>
      <c r="D9" s="5"/>
      <c r="E9" s="5">
        <v>142</v>
      </c>
      <c r="F9" s="5"/>
      <c r="G9" s="5"/>
      <c r="H9" s="5">
        <v>238</v>
      </c>
      <c r="I9" s="5"/>
      <c r="J9" s="5">
        <v>210</v>
      </c>
      <c r="K9" s="5"/>
      <c r="L9" s="5">
        <v>948</v>
      </c>
      <c r="M9" s="5"/>
      <c r="N9" s="5">
        <v>36</v>
      </c>
      <c r="O9" s="5">
        <v>936</v>
      </c>
      <c r="P9" s="5"/>
      <c r="Q9" s="5">
        <v>262</v>
      </c>
      <c r="R9" s="5"/>
      <c r="S9" s="5"/>
      <c r="T9" s="5"/>
      <c r="U9" s="5"/>
    </row>
    <row r="10" spans="1:21" x14ac:dyDescent="0.35">
      <c r="A10" s="4" t="s">
        <v>30</v>
      </c>
      <c r="B10" s="4" t="s">
        <v>31</v>
      </c>
      <c r="C10" s="4" t="s">
        <v>32</v>
      </c>
      <c r="D10" s="5">
        <v>2</v>
      </c>
      <c r="E10" s="5">
        <v>183</v>
      </c>
      <c r="F10" s="5"/>
      <c r="G10" s="5">
        <v>394</v>
      </c>
      <c r="H10" s="5">
        <v>251</v>
      </c>
      <c r="I10" s="5"/>
      <c r="J10" s="5">
        <v>213</v>
      </c>
      <c r="K10" s="5"/>
      <c r="L10" s="5">
        <v>954</v>
      </c>
      <c r="M10" s="5">
        <v>71</v>
      </c>
      <c r="N10" s="5">
        <v>38</v>
      </c>
      <c r="O10" s="5">
        <v>940</v>
      </c>
      <c r="P10" s="5"/>
      <c r="Q10" s="5">
        <v>270</v>
      </c>
      <c r="R10" s="5"/>
      <c r="S10" s="5">
        <v>237</v>
      </c>
      <c r="T10" s="5">
        <v>374</v>
      </c>
      <c r="U10" s="5"/>
    </row>
    <row r="11" spans="1:21" x14ac:dyDescent="0.35">
      <c r="A11" s="4" t="s">
        <v>33</v>
      </c>
      <c r="B11" s="4" t="s">
        <v>34</v>
      </c>
      <c r="C11" s="4" t="s">
        <v>35</v>
      </c>
      <c r="D11" s="5"/>
      <c r="E11" s="5">
        <v>147</v>
      </c>
      <c r="F11" s="5"/>
      <c r="G11" s="5"/>
      <c r="H11" s="5">
        <v>249</v>
      </c>
      <c r="I11" s="5"/>
      <c r="J11" s="5">
        <v>214</v>
      </c>
      <c r="K11" s="5"/>
      <c r="L11" s="5">
        <v>960</v>
      </c>
      <c r="M11" s="5"/>
      <c r="N11" s="5">
        <v>40</v>
      </c>
      <c r="O11" s="5">
        <v>943</v>
      </c>
      <c r="P11" s="5"/>
      <c r="Q11" s="5">
        <v>267</v>
      </c>
      <c r="R11" s="5"/>
      <c r="S11" s="5">
        <v>240</v>
      </c>
      <c r="T11" s="5">
        <v>528</v>
      </c>
      <c r="U11" s="5"/>
    </row>
    <row r="12" spans="1:21" x14ac:dyDescent="0.35">
      <c r="A12" s="4" t="s">
        <v>33</v>
      </c>
      <c r="B12" s="4" t="s">
        <v>230</v>
      </c>
      <c r="C12" s="4" t="s">
        <v>231</v>
      </c>
      <c r="D12" s="5"/>
      <c r="E12" s="5"/>
      <c r="F12" s="5"/>
      <c r="G12" s="5"/>
      <c r="H12" s="5"/>
      <c r="I12" s="5"/>
      <c r="J12" s="5"/>
      <c r="K12" s="5"/>
      <c r="L12" s="5"/>
      <c r="M12" s="5"/>
      <c r="N12" s="5"/>
      <c r="O12" s="5"/>
      <c r="P12" s="5"/>
      <c r="Q12" s="5"/>
      <c r="R12" s="5"/>
      <c r="S12" s="5"/>
      <c r="T12" s="5"/>
      <c r="U12" s="5"/>
    </row>
    <row r="13" spans="1:21" x14ac:dyDescent="0.35">
      <c r="A13" s="4" t="s">
        <v>36</v>
      </c>
      <c r="B13" s="4" t="s">
        <v>37</v>
      </c>
      <c r="C13" s="4" t="s">
        <v>38</v>
      </c>
      <c r="D13" s="5"/>
      <c r="E13" s="5">
        <v>185</v>
      </c>
      <c r="F13" s="5"/>
      <c r="G13" s="5">
        <v>396</v>
      </c>
      <c r="H13" s="5">
        <v>458</v>
      </c>
      <c r="I13" s="5"/>
      <c r="J13" s="5" t="s">
        <v>39</v>
      </c>
      <c r="K13" s="5"/>
      <c r="L13" s="5">
        <v>766</v>
      </c>
      <c r="M13" s="5">
        <v>359</v>
      </c>
      <c r="N13" s="5">
        <v>383</v>
      </c>
      <c r="O13" s="5"/>
      <c r="P13" s="5"/>
      <c r="Q13" s="5">
        <v>410</v>
      </c>
      <c r="R13" s="5"/>
      <c r="S13" s="5">
        <v>276</v>
      </c>
      <c r="T13" s="5"/>
      <c r="U13" s="5"/>
    </row>
    <row r="14" spans="1:21" x14ac:dyDescent="0.35">
      <c r="A14" s="4" t="s">
        <v>40</v>
      </c>
      <c r="B14" s="4" t="s">
        <v>41</v>
      </c>
      <c r="C14" s="4" t="s">
        <v>42</v>
      </c>
      <c r="D14" s="5"/>
      <c r="E14" s="5" t="s">
        <v>43</v>
      </c>
      <c r="F14" s="5"/>
      <c r="G14" s="5">
        <v>203</v>
      </c>
      <c r="H14" s="5">
        <v>146</v>
      </c>
      <c r="I14" s="5"/>
      <c r="J14" s="5">
        <v>208</v>
      </c>
      <c r="K14" s="5"/>
      <c r="L14" s="5">
        <v>434</v>
      </c>
      <c r="M14" s="5">
        <v>147</v>
      </c>
      <c r="N14" s="5">
        <v>41</v>
      </c>
      <c r="O14" s="5">
        <v>947</v>
      </c>
      <c r="P14" s="5"/>
      <c r="Q14" s="5">
        <v>268</v>
      </c>
      <c r="R14" s="5"/>
      <c r="S14" s="5"/>
      <c r="T14" s="5">
        <v>111</v>
      </c>
      <c r="U14" s="5"/>
    </row>
    <row r="15" spans="1:21" x14ac:dyDescent="0.35">
      <c r="A15" s="3" t="s">
        <v>44</v>
      </c>
    </row>
    <row r="16" spans="1:21" x14ac:dyDescent="0.35">
      <c r="A16" s="4" t="s">
        <v>45</v>
      </c>
      <c r="B16" s="4" t="s">
        <v>232</v>
      </c>
      <c r="C16" s="4" t="s">
        <v>47</v>
      </c>
      <c r="D16" s="5"/>
      <c r="E16" s="5">
        <v>134</v>
      </c>
      <c r="F16" s="5"/>
      <c r="G16" s="5">
        <v>257</v>
      </c>
      <c r="H16" s="5">
        <v>224</v>
      </c>
      <c r="I16" s="5"/>
      <c r="J16" s="5">
        <v>154</v>
      </c>
      <c r="K16" s="5"/>
      <c r="L16" s="5">
        <v>497</v>
      </c>
      <c r="M16" s="5">
        <v>375</v>
      </c>
      <c r="N16" s="5">
        <v>2</v>
      </c>
      <c r="O16" s="5">
        <v>585</v>
      </c>
      <c r="P16" s="5"/>
      <c r="Q16" s="5">
        <v>176</v>
      </c>
      <c r="R16" s="5"/>
      <c r="S16" s="5">
        <v>232</v>
      </c>
      <c r="T16" s="5">
        <v>163</v>
      </c>
      <c r="U16" s="5"/>
    </row>
    <row r="17" spans="1:21" x14ac:dyDescent="0.35">
      <c r="A17" s="4" t="s">
        <v>45</v>
      </c>
      <c r="B17" s="4" t="s">
        <v>233</v>
      </c>
      <c r="C17" s="4" t="s">
        <v>49</v>
      </c>
      <c r="D17" s="5">
        <v>3</v>
      </c>
      <c r="E17" s="5"/>
      <c r="F17" s="5"/>
      <c r="G17" s="5"/>
      <c r="H17" s="5">
        <v>227</v>
      </c>
      <c r="I17" s="5"/>
      <c r="J17" s="5"/>
      <c r="K17" s="5"/>
      <c r="L17" s="5"/>
      <c r="M17" s="5">
        <v>382</v>
      </c>
      <c r="N17" s="5">
        <v>11</v>
      </c>
      <c r="O17" s="5"/>
      <c r="P17" s="5"/>
      <c r="Q17" s="5"/>
      <c r="R17" s="5"/>
      <c r="S17" s="5"/>
      <c r="T17" s="5"/>
      <c r="U17" s="5"/>
    </row>
    <row r="18" spans="1:21" x14ac:dyDescent="0.35">
      <c r="A18" s="4" t="s">
        <v>45</v>
      </c>
      <c r="B18" s="4" t="s">
        <v>234</v>
      </c>
      <c r="C18" s="4" t="s">
        <v>51</v>
      </c>
      <c r="D18" s="5"/>
      <c r="E18" s="5"/>
      <c r="F18" s="5"/>
      <c r="G18" s="5"/>
      <c r="H18" s="5">
        <v>233</v>
      </c>
      <c r="I18" s="5"/>
      <c r="J18" s="5" t="s">
        <v>52</v>
      </c>
      <c r="K18" s="5"/>
      <c r="L18" s="5" t="s">
        <v>53</v>
      </c>
      <c r="M18" s="5">
        <v>355</v>
      </c>
      <c r="N18" s="5" t="s">
        <v>54</v>
      </c>
      <c r="O18" s="5">
        <v>586</v>
      </c>
      <c r="P18" s="5"/>
      <c r="Q18" s="5" t="s">
        <v>55</v>
      </c>
      <c r="R18" s="5"/>
      <c r="S18" s="5"/>
      <c r="T18" s="5" t="s">
        <v>56</v>
      </c>
      <c r="U18" s="5"/>
    </row>
    <row r="19" spans="1:21" x14ac:dyDescent="0.35">
      <c r="A19" s="4" t="s">
        <v>57</v>
      </c>
      <c r="B19" s="4" t="s">
        <v>58</v>
      </c>
      <c r="C19" s="4" t="s">
        <v>59</v>
      </c>
      <c r="D19" s="5"/>
      <c r="E19" s="5">
        <v>171</v>
      </c>
      <c r="F19" s="5"/>
      <c r="G19" s="5">
        <v>480</v>
      </c>
      <c r="H19" s="5">
        <v>500</v>
      </c>
      <c r="I19" s="5"/>
      <c r="J19" s="5">
        <v>288</v>
      </c>
      <c r="K19" s="5"/>
      <c r="L19" s="5" t="s">
        <v>60</v>
      </c>
      <c r="M19" s="5">
        <v>29</v>
      </c>
      <c r="N19" s="5">
        <v>591</v>
      </c>
      <c r="O19" s="5">
        <v>906</v>
      </c>
      <c r="P19" s="5"/>
      <c r="Q19" s="5">
        <v>574</v>
      </c>
      <c r="R19" s="5"/>
      <c r="S19" s="5">
        <v>189</v>
      </c>
      <c r="T19" s="5">
        <v>335</v>
      </c>
      <c r="U19" s="5"/>
    </row>
    <row r="20" spans="1:21" x14ac:dyDescent="0.35">
      <c r="A20" s="4" t="s">
        <v>57</v>
      </c>
      <c r="B20" s="4" t="s">
        <v>61</v>
      </c>
      <c r="C20" s="4" t="s">
        <v>235</v>
      </c>
      <c r="D20" s="5">
        <v>4</v>
      </c>
      <c r="E20" s="5"/>
      <c r="F20" s="5"/>
      <c r="G20" s="5"/>
      <c r="H20" s="5"/>
      <c r="I20" s="5"/>
      <c r="J20" s="5"/>
      <c r="K20" s="5"/>
      <c r="L20" s="5"/>
      <c r="M20" s="5"/>
      <c r="N20" s="5"/>
      <c r="O20" s="5"/>
      <c r="P20" s="5"/>
      <c r="Q20" s="5"/>
      <c r="R20" s="5"/>
      <c r="S20" s="5"/>
      <c r="T20" s="5"/>
      <c r="U20" s="5"/>
    </row>
    <row r="21" spans="1:21" x14ac:dyDescent="0.35">
      <c r="A21" s="4" t="s">
        <v>57</v>
      </c>
      <c r="B21" s="4" t="s">
        <v>63</v>
      </c>
      <c r="C21" s="4" t="s">
        <v>64</v>
      </c>
      <c r="D21" s="5"/>
      <c r="E21" s="5">
        <v>214</v>
      </c>
      <c r="F21" s="5"/>
      <c r="G21" s="5">
        <v>415</v>
      </c>
      <c r="H21" s="5">
        <v>329</v>
      </c>
      <c r="I21" s="5"/>
      <c r="J21" s="5">
        <v>230</v>
      </c>
      <c r="K21" s="5"/>
      <c r="L21" s="5">
        <v>607</v>
      </c>
      <c r="M21" s="5">
        <v>273</v>
      </c>
      <c r="N21" s="5">
        <v>452</v>
      </c>
      <c r="O21" s="5">
        <v>650</v>
      </c>
      <c r="P21" s="5"/>
      <c r="Q21" s="5">
        <v>305</v>
      </c>
      <c r="R21" s="5"/>
      <c r="S21" s="5">
        <v>190</v>
      </c>
      <c r="T21" s="5">
        <v>295</v>
      </c>
      <c r="U21" s="5"/>
    </row>
    <row r="22" spans="1:21" x14ac:dyDescent="0.35">
      <c r="A22" s="4" t="s">
        <v>57</v>
      </c>
      <c r="B22" s="4" t="s">
        <v>65</v>
      </c>
      <c r="C22" s="4" t="s">
        <v>66</v>
      </c>
      <c r="D22" s="5"/>
      <c r="E22" s="5">
        <v>166</v>
      </c>
      <c r="F22" s="5"/>
      <c r="G22" s="5">
        <v>278</v>
      </c>
      <c r="H22" s="5">
        <v>260</v>
      </c>
      <c r="I22" s="5"/>
      <c r="J22" s="5"/>
      <c r="K22" s="5"/>
      <c r="L22" s="5"/>
      <c r="M22" s="5">
        <v>424</v>
      </c>
      <c r="N22" s="5">
        <v>440</v>
      </c>
      <c r="O22" s="5"/>
      <c r="P22" s="5"/>
      <c r="Q22" s="5">
        <v>205</v>
      </c>
      <c r="R22" s="5"/>
      <c r="S22" s="5">
        <v>244</v>
      </c>
      <c r="T22" s="5"/>
      <c r="U22" s="5"/>
    </row>
    <row r="23" spans="1:21" x14ac:dyDescent="0.35">
      <c r="A23" s="4" t="s">
        <v>57</v>
      </c>
      <c r="B23" s="4" t="s">
        <v>67</v>
      </c>
      <c r="C23" s="4" t="s">
        <v>68</v>
      </c>
      <c r="D23" s="5">
        <v>5</v>
      </c>
      <c r="E23" s="5">
        <v>162</v>
      </c>
      <c r="F23" s="5"/>
      <c r="G23" s="5">
        <v>282</v>
      </c>
      <c r="H23" s="5">
        <v>267</v>
      </c>
      <c r="I23" s="5"/>
      <c r="J23" s="5"/>
      <c r="K23" s="5"/>
      <c r="L23" s="5"/>
      <c r="M23" s="5">
        <v>527</v>
      </c>
      <c r="N23" s="5">
        <v>396</v>
      </c>
      <c r="O23" s="5">
        <v>866</v>
      </c>
      <c r="P23" s="5"/>
      <c r="Q23" s="5">
        <v>202</v>
      </c>
      <c r="R23" s="5"/>
      <c r="S23" s="5">
        <v>246</v>
      </c>
      <c r="T23" s="5"/>
      <c r="U23" s="5"/>
    </row>
    <row r="24" spans="1:21" x14ac:dyDescent="0.35">
      <c r="A24" s="4" t="s">
        <v>69</v>
      </c>
      <c r="B24" s="4" t="s">
        <v>70</v>
      </c>
      <c r="C24" s="4" t="s">
        <v>71</v>
      </c>
      <c r="D24" s="5"/>
      <c r="E24" s="5"/>
      <c r="F24" s="5"/>
      <c r="G24" s="5"/>
      <c r="H24" s="5"/>
      <c r="I24" s="5"/>
      <c r="J24" s="5"/>
      <c r="K24" s="5"/>
      <c r="L24" s="5"/>
      <c r="M24" s="5"/>
      <c r="N24" s="5"/>
      <c r="O24" s="5"/>
      <c r="P24" s="5"/>
      <c r="Q24" s="5"/>
      <c r="R24" s="5"/>
      <c r="S24" s="5"/>
      <c r="T24" s="5"/>
      <c r="U24" s="5"/>
    </row>
    <row r="25" spans="1:21" x14ac:dyDescent="0.35">
      <c r="A25" s="4" t="s">
        <v>72</v>
      </c>
      <c r="B25" s="4" t="s">
        <v>73</v>
      </c>
      <c r="C25" s="4" t="s">
        <v>74</v>
      </c>
      <c r="D25" s="5"/>
      <c r="E25" s="5">
        <v>136</v>
      </c>
      <c r="F25" s="5"/>
      <c r="G25" s="5">
        <v>260</v>
      </c>
      <c r="H25" s="5">
        <v>231</v>
      </c>
      <c r="I25" s="5">
        <v>753</v>
      </c>
      <c r="J25" s="5">
        <v>155</v>
      </c>
      <c r="K25" s="5"/>
      <c r="L25" s="5">
        <v>768</v>
      </c>
      <c r="M25" s="5">
        <v>39</v>
      </c>
      <c r="N25" s="5">
        <v>33</v>
      </c>
      <c r="O25" s="5">
        <v>596</v>
      </c>
      <c r="P25" s="5"/>
      <c r="Q25" s="5">
        <v>190</v>
      </c>
      <c r="R25" s="5"/>
      <c r="S25" s="5">
        <v>235</v>
      </c>
      <c r="T25" s="5">
        <v>317</v>
      </c>
      <c r="U25" s="5"/>
    </row>
    <row r="26" spans="1:21" x14ac:dyDescent="0.35">
      <c r="A26" s="4" t="s">
        <v>75</v>
      </c>
      <c r="B26" s="4" t="s">
        <v>76</v>
      </c>
      <c r="C26" s="4" t="s">
        <v>77</v>
      </c>
      <c r="D26" s="5"/>
      <c r="E26" s="5">
        <v>159</v>
      </c>
      <c r="F26" s="5"/>
      <c r="G26" s="5">
        <v>274</v>
      </c>
      <c r="H26" s="5">
        <v>261</v>
      </c>
      <c r="I26" s="5"/>
      <c r="J26" s="5">
        <v>334</v>
      </c>
      <c r="K26" s="5"/>
      <c r="L26" s="5">
        <v>655</v>
      </c>
      <c r="M26" s="5">
        <v>138</v>
      </c>
      <c r="N26" s="5">
        <v>589</v>
      </c>
      <c r="O26" s="5">
        <v>862</v>
      </c>
      <c r="P26" s="5"/>
      <c r="Q26" s="5">
        <v>203</v>
      </c>
      <c r="R26" s="5"/>
      <c r="S26" s="5">
        <v>243</v>
      </c>
      <c r="T26" s="5">
        <v>230</v>
      </c>
      <c r="U26" s="5"/>
    </row>
    <row r="27" spans="1:21" x14ac:dyDescent="0.35">
      <c r="A27" s="4" t="s">
        <v>75</v>
      </c>
      <c r="B27" s="4" t="s">
        <v>78</v>
      </c>
      <c r="C27" s="4" t="s">
        <v>59</v>
      </c>
      <c r="D27" s="5"/>
      <c r="E27" s="5">
        <v>171</v>
      </c>
      <c r="F27" s="5"/>
      <c r="G27" s="5">
        <v>480</v>
      </c>
      <c r="H27" s="5">
        <v>500</v>
      </c>
      <c r="I27" s="5"/>
      <c r="J27" s="5">
        <v>288</v>
      </c>
      <c r="K27" s="5"/>
      <c r="L27" s="5" t="s">
        <v>60</v>
      </c>
      <c r="M27" s="5">
        <v>29</v>
      </c>
      <c r="N27" s="5">
        <v>591</v>
      </c>
      <c r="O27" s="5">
        <v>906</v>
      </c>
      <c r="P27" s="5"/>
      <c r="Q27" s="5">
        <v>574</v>
      </c>
      <c r="R27" s="5"/>
      <c r="S27" s="5">
        <v>189</v>
      </c>
      <c r="T27" s="5">
        <v>335</v>
      </c>
      <c r="U27" s="5"/>
    </row>
    <row r="28" spans="1:21" x14ac:dyDescent="0.35">
      <c r="A28" s="4" t="s">
        <v>75</v>
      </c>
      <c r="B28" s="4" t="s">
        <v>79</v>
      </c>
      <c r="C28" s="4" t="s">
        <v>80</v>
      </c>
      <c r="D28" s="5"/>
      <c r="E28" s="5">
        <v>145</v>
      </c>
      <c r="F28" s="5"/>
      <c r="G28" s="5">
        <v>271</v>
      </c>
      <c r="H28" s="5">
        <v>247</v>
      </c>
      <c r="I28" s="5"/>
      <c r="J28" s="5">
        <v>170</v>
      </c>
      <c r="K28" s="5"/>
      <c r="L28" s="5">
        <v>505</v>
      </c>
      <c r="M28" s="5"/>
      <c r="N28" s="5">
        <v>18</v>
      </c>
      <c r="O28" s="5">
        <v>482</v>
      </c>
      <c r="P28" s="5"/>
      <c r="Q28" s="5">
        <v>192</v>
      </c>
      <c r="R28" s="5"/>
      <c r="S28" s="5">
        <v>238</v>
      </c>
      <c r="T28" s="5">
        <v>308</v>
      </c>
      <c r="U28" s="5"/>
    </row>
    <row r="29" spans="1:21" x14ac:dyDescent="0.35">
      <c r="A29" s="4" t="s">
        <v>81</v>
      </c>
      <c r="B29" s="4" t="s">
        <v>41</v>
      </c>
      <c r="C29" s="4" t="s">
        <v>42</v>
      </c>
      <c r="D29" s="5"/>
      <c r="E29" s="5" t="s">
        <v>43</v>
      </c>
      <c r="F29" s="5"/>
      <c r="G29" s="5">
        <v>203</v>
      </c>
      <c r="H29" s="5">
        <v>146</v>
      </c>
      <c r="I29" s="5"/>
      <c r="J29" s="5">
        <v>208</v>
      </c>
      <c r="K29" s="5"/>
      <c r="L29" s="5">
        <v>434</v>
      </c>
      <c r="M29" s="5">
        <v>147</v>
      </c>
      <c r="N29" s="5">
        <v>41</v>
      </c>
      <c r="O29" s="5">
        <v>947</v>
      </c>
      <c r="P29" s="5"/>
      <c r="Q29" s="5">
        <v>268</v>
      </c>
      <c r="R29" s="5"/>
      <c r="S29" s="5"/>
      <c r="T29" s="5">
        <v>111</v>
      </c>
      <c r="U29" s="5"/>
    </row>
    <row r="30" spans="1:21" x14ac:dyDescent="0.35">
      <c r="A30" s="4" t="s">
        <v>81</v>
      </c>
      <c r="B30" s="4" t="s">
        <v>82</v>
      </c>
      <c r="C30" s="4" t="s">
        <v>83</v>
      </c>
      <c r="D30" s="5"/>
      <c r="E30" s="5">
        <v>205</v>
      </c>
      <c r="F30" s="5"/>
      <c r="G30" s="5">
        <v>441</v>
      </c>
      <c r="H30" s="5">
        <v>311</v>
      </c>
      <c r="I30" s="5"/>
      <c r="J30" s="5" t="s">
        <v>84</v>
      </c>
      <c r="K30" s="5"/>
      <c r="L30" s="5">
        <v>627</v>
      </c>
      <c r="M30" s="5"/>
      <c r="N30" s="5" t="s">
        <v>85</v>
      </c>
      <c r="O30" s="5">
        <v>659</v>
      </c>
      <c r="P30" s="5"/>
      <c r="Q30" s="5">
        <v>313</v>
      </c>
      <c r="R30" s="5"/>
      <c r="S30" s="5">
        <v>205</v>
      </c>
      <c r="T30" s="5"/>
      <c r="U30" s="5"/>
    </row>
    <row r="31" spans="1:21" x14ac:dyDescent="0.35">
      <c r="A31" s="4" t="s">
        <v>81</v>
      </c>
      <c r="B31" s="4" t="s">
        <v>86</v>
      </c>
      <c r="C31" s="4" t="s">
        <v>87</v>
      </c>
      <c r="D31" s="5"/>
      <c r="E31" s="5">
        <v>195</v>
      </c>
      <c r="F31" s="5"/>
      <c r="G31" s="5">
        <v>431</v>
      </c>
      <c r="H31" s="5">
        <v>313</v>
      </c>
      <c r="I31" s="5"/>
      <c r="J31" s="5">
        <v>238</v>
      </c>
      <c r="K31" s="5"/>
      <c r="L31" s="5">
        <v>617</v>
      </c>
      <c r="M31" s="5">
        <v>156</v>
      </c>
      <c r="N31" s="5">
        <v>327</v>
      </c>
      <c r="O31" s="5">
        <v>673</v>
      </c>
      <c r="P31" s="5"/>
      <c r="Q31" s="5">
        <v>317</v>
      </c>
      <c r="R31" s="5"/>
      <c r="S31" s="5">
        <v>207</v>
      </c>
      <c r="T31" s="5">
        <v>215</v>
      </c>
      <c r="U31" s="5"/>
    </row>
    <row r="32" spans="1:21" x14ac:dyDescent="0.35">
      <c r="A32" s="4" t="s">
        <v>81</v>
      </c>
      <c r="B32" s="4" t="s">
        <v>236</v>
      </c>
      <c r="C32" s="4" t="s">
        <v>237</v>
      </c>
      <c r="D32" s="5"/>
      <c r="E32" s="5"/>
      <c r="F32" s="5"/>
      <c r="G32" s="5"/>
      <c r="H32" s="5"/>
      <c r="I32" s="5"/>
      <c r="J32" s="5"/>
      <c r="K32" s="5"/>
      <c r="L32" s="5"/>
      <c r="M32" s="5"/>
      <c r="N32" s="5"/>
      <c r="O32" s="5"/>
      <c r="P32" s="5"/>
      <c r="Q32" s="5"/>
      <c r="R32" s="5"/>
      <c r="S32" s="5"/>
      <c r="T32" s="5"/>
      <c r="U32" s="5"/>
    </row>
    <row r="33" spans="1:21" x14ac:dyDescent="0.35">
      <c r="A33" s="4" t="s">
        <v>81</v>
      </c>
      <c r="B33" s="4" t="s">
        <v>90</v>
      </c>
      <c r="C33" s="4" t="s">
        <v>91</v>
      </c>
      <c r="D33" s="5">
        <v>6</v>
      </c>
      <c r="E33" s="5">
        <v>337</v>
      </c>
      <c r="F33" s="5"/>
      <c r="G33" s="5"/>
      <c r="H33" s="5"/>
      <c r="I33" s="5">
        <v>745</v>
      </c>
      <c r="J33" s="5"/>
      <c r="K33" s="5"/>
      <c r="L33" s="5" t="s">
        <v>92</v>
      </c>
      <c r="M33" s="5"/>
      <c r="N33" s="5"/>
      <c r="O33" s="5"/>
      <c r="P33" s="5"/>
      <c r="Q33" s="5"/>
      <c r="R33" s="5"/>
      <c r="S33" s="5"/>
      <c r="T33" s="5"/>
      <c r="U33" s="5"/>
    </row>
    <row r="34" spans="1:21" x14ac:dyDescent="0.35">
      <c r="A34" s="4" t="s">
        <v>93</v>
      </c>
      <c r="B34" s="4" t="s">
        <v>238</v>
      </c>
      <c r="C34" s="4" t="s">
        <v>94</v>
      </c>
      <c r="D34" s="5"/>
      <c r="E34" s="5">
        <v>177</v>
      </c>
      <c r="F34" s="5"/>
      <c r="G34" s="5"/>
      <c r="H34" s="5"/>
      <c r="I34" s="5">
        <v>785</v>
      </c>
      <c r="J34" s="5">
        <v>219</v>
      </c>
      <c r="K34" s="5"/>
      <c r="L34" s="5" t="s">
        <v>95</v>
      </c>
      <c r="M34" s="5"/>
      <c r="N34" s="5">
        <v>584</v>
      </c>
      <c r="O34" s="5"/>
      <c r="P34" s="5"/>
      <c r="Q34" s="5">
        <v>522</v>
      </c>
      <c r="R34" s="5"/>
      <c r="S34" s="5">
        <v>248</v>
      </c>
      <c r="T34" s="5">
        <v>471</v>
      </c>
      <c r="U34" s="5"/>
    </row>
    <row r="35" spans="1:21" x14ac:dyDescent="0.35">
      <c r="A35" s="4" t="s">
        <v>93</v>
      </c>
      <c r="B35" s="4" t="s">
        <v>239</v>
      </c>
      <c r="C35" s="4" t="s">
        <v>240</v>
      </c>
      <c r="D35" s="5">
        <v>7</v>
      </c>
      <c r="E35" s="5"/>
      <c r="F35" s="5"/>
      <c r="G35" s="5"/>
      <c r="H35" s="5"/>
      <c r="I35" s="5"/>
      <c r="J35" s="5"/>
      <c r="K35" s="5"/>
      <c r="L35" s="5"/>
      <c r="M35" s="5"/>
      <c r="N35" s="5"/>
      <c r="O35" s="5"/>
      <c r="P35" s="5"/>
      <c r="Q35" s="5"/>
      <c r="R35" s="5"/>
      <c r="S35" s="5"/>
      <c r="T35" s="5"/>
      <c r="U35" s="5"/>
    </row>
    <row r="36" spans="1:21" x14ac:dyDescent="0.35">
      <c r="A36" s="4" t="s">
        <v>93</v>
      </c>
      <c r="B36" s="4" t="s">
        <v>76</v>
      </c>
      <c r="C36" s="4" t="s">
        <v>77</v>
      </c>
      <c r="D36" s="5"/>
      <c r="E36" s="5">
        <v>159</v>
      </c>
      <c r="F36" s="5"/>
      <c r="G36" s="5">
        <v>274</v>
      </c>
      <c r="H36" s="5">
        <v>261</v>
      </c>
      <c r="I36" s="5"/>
      <c r="J36" s="5">
        <v>334</v>
      </c>
      <c r="K36" s="5"/>
      <c r="L36" s="5">
        <v>655</v>
      </c>
      <c r="M36" s="5">
        <v>138</v>
      </c>
      <c r="N36" s="5">
        <v>589</v>
      </c>
      <c r="O36" s="5">
        <v>862</v>
      </c>
      <c r="P36" s="5"/>
      <c r="Q36" s="5">
        <v>203</v>
      </c>
      <c r="R36" s="5"/>
      <c r="S36" s="5">
        <v>243</v>
      </c>
      <c r="T36" s="5">
        <v>230</v>
      </c>
      <c r="U36" s="5"/>
    </row>
    <row r="37" spans="1:21" x14ac:dyDescent="0.35">
      <c r="A37" s="4" t="s">
        <v>93</v>
      </c>
      <c r="B37" s="4" t="s">
        <v>78</v>
      </c>
      <c r="C37" s="4" t="s">
        <v>59</v>
      </c>
      <c r="D37" s="5"/>
      <c r="E37" s="5">
        <v>171</v>
      </c>
      <c r="F37" s="5"/>
      <c r="G37" s="5">
        <v>480</v>
      </c>
      <c r="H37" s="5">
        <v>500</v>
      </c>
      <c r="I37" s="5"/>
      <c r="J37" s="5">
        <v>288</v>
      </c>
      <c r="K37" s="5"/>
      <c r="L37" s="5" t="s">
        <v>60</v>
      </c>
      <c r="M37" s="5">
        <v>29</v>
      </c>
      <c r="N37" s="5">
        <v>591</v>
      </c>
      <c r="O37" s="5">
        <v>906</v>
      </c>
      <c r="P37" s="5"/>
      <c r="Q37" s="5">
        <v>574</v>
      </c>
      <c r="R37" s="5"/>
      <c r="S37" s="5">
        <v>189</v>
      </c>
      <c r="T37" s="5">
        <v>335</v>
      </c>
      <c r="U37" s="5"/>
    </row>
    <row r="38" spans="1:21" ht="25" customHeight="1" x14ac:dyDescent="0.35">
      <c r="A38" s="4" t="s">
        <v>93</v>
      </c>
      <c r="B38" s="4" t="s">
        <v>241</v>
      </c>
      <c r="C38" s="4" t="s">
        <v>96</v>
      </c>
      <c r="D38" s="5">
        <v>8</v>
      </c>
      <c r="E38" s="5">
        <v>237</v>
      </c>
      <c r="F38" s="5"/>
      <c r="G38" s="5">
        <v>314</v>
      </c>
      <c r="H38" s="5">
        <v>377</v>
      </c>
      <c r="I38" s="5"/>
      <c r="J38" s="5">
        <v>355</v>
      </c>
      <c r="K38" s="5"/>
      <c r="L38" s="5">
        <v>555</v>
      </c>
      <c r="M38" s="5">
        <v>205</v>
      </c>
      <c r="N38" s="5">
        <v>227</v>
      </c>
      <c r="O38" s="5">
        <v>558</v>
      </c>
      <c r="P38" s="5"/>
      <c r="Q38" s="5">
        <v>390</v>
      </c>
      <c r="R38" s="5"/>
      <c r="S38" s="5">
        <v>249</v>
      </c>
      <c r="T38" s="5">
        <v>297</v>
      </c>
      <c r="U38" s="5"/>
    </row>
    <row r="39" spans="1:21" x14ac:dyDescent="0.35">
      <c r="A39" s="4" t="s">
        <v>93</v>
      </c>
      <c r="B39" s="4" t="s">
        <v>242</v>
      </c>
      <c r="C39" s="4" t="s">
        <v>243</v>
      </c>
      <c r="D39" s="5">
        <v>4</v>
      </c>
      <c r="E39" s="5"/>
      <c r="F39" s="5"/>
      <c r="G39" s="5"/>
      <c r="H39" s="5"/>
      <c r="I39" s="5"/>
      <c r="J39" s="5"/>
      <c r="K39" s="5"/>
      <c r="L39" s="5"/>
      <c r="M39" s="5"/>
      <c r="N39" s="5"/>
      <c r="O39" s="5"/>
      <c r="P39" s="5"/>
      <c r="Q39" s="5"/>
      <c r="R39" s="5"/>
      <c r="S39" s="5"/>
      <c r="T39" s="5"/>
      <c r="U39" s="5"/>
    </row>
    <row r="40" spans="1:21" x14ac:dyDescent="0.35">
      <c r="A40" s="4" t="s">
        <v>93</v>
      </c>
      <c r="B40" s="4" t="s">
        <v>98</v>
      </c>
      <c r="C40" s="4" t="s">
        <v>99</v>
      </c>
      <c r="D40" s="5">
        <v>6</v>
      </c>
      <c r="E40" s="5"/>
      <c r="F40" s="5"/>
      <c r="G40" s="5"/>
      <c r="H40" s="5" t="s">
        <v>100</v>
      </c>
      <c r="I40" s="5"/>
      <c r="J40" s="5"/>
      <c r="K40" s="5"/>
      <c r="L40" s="5"/>
      <c r="M40" s="5"/>
      <c r="N40" s="5" t="s">
        <v>101</v>
      </c>
      <c r="O40" s="5">
        <v>951</v>
      </c>
      <c r="P40" s="5" t="s">
        <v>103</v>
      </c>
      <c r="Q40" s="5" t="s">
        <v>102</v>
      </c>
      <c r="R40" s="5"/>
      <c r="S40" s="5"/>
      <c r="T40" s="5"/>
      <c r="U40" s="5"/>
    </row>
    <row r="41" spans="1:21" x14ac:dyDescent="0.35">
      <c r="A41" s="4" t="s">
        <v>104</v>
      </c>
      <c r="B41" s="4" t="s">
        <v>105</v>
      </c>
      <c r="C41" s="4" t="s">
        <v>106</v>
      </c>
      <c r="D41" s="5">
        <v>6</v>
      </c>
      <c r="E41" s="5"/>
      <c r="F41" s="5"/>
      <c r="G41" s="5"/>
      <c r="H41" s="5"/>
      <c r="I41" s="5"/>
      <c r="J41" s="5"/>
      <c r="K41" s="5">
        <v>914</v>
      </c>
      <c r="L41" s="5">
        <v>930</v>
      </c>
      <c r="M41" s="5"/>
      <c r="N41" s="5"/>
      <c r="O41" s="5">
        <v>958</v>
      </c>
      <c r="P41" s="5"/>
      <c r="Q41" s="5"/>
      <c r="R41" s="5"/>
      <c r="S41" s="5"/>
      <c r="T41" s="5"/>
      <c r="U41" s="5"/>
    </row>
    <row r="42" spans="1:21" x14ac:dyDescent="0.35">
      <c r="A42" s="4" t="s">
        <v>104</v>
      </c>
      <c r="B42" s="4" t="s">
        <v>244</v>
      </c>
      <c r="C42" s="4" t="s">
        <v>237</v>
      </c>
      <c r="D42" s="5"/>
      <c r="E42" s="5"/>
      <c r="F42" s="5"/>
      <c r="G42" s="5"/>
      <c r="H42" s="5"/>
      <c r="I42" s="5"/>
      <c r="J42" s="5"/>
      <c r="K42" s="5"/>
      <c r="L42" s="5"/>
      <c r="M42" s="5"/>
      <c r="N42" s="5"/>
      <c r="O42" s="5"/>
      <c r="P42" s="5"/>
      <c r="Q42" s="5"/>
      <c r="R42" s="5"/>
      <c r="S42" s="5"/>
      <c r="T42" s="5"/>
      <c r="U42" s="5"/>
    </row>
    <row r="43" spans="1:21" x14ac:dyDescent="0.35">
      <c r="A43" s="3" t="s">
        <v>110</v>
      </c>
    </row>
    <row r="44" spans="1:21" x14ac:dyDescent="0.35">
      <c r="A44" s="4" t="s">
        <v>111</v>
      </c>
      <c r="B44" s="4" t="s">
        <v>112</v>
      </c>
      <c r="C44" s="4" t="s">
        <v>113</v>
      </c>
      <c r="D44" s="5"/>
      <c r="E44" s="5">
        <v>36</v>
      </c>
      <c r="F44" s="5"/>
      <c r="G44" s="5">
        <v>141</v>
      </c>
      <c r="H44" s="5">
        <v>95</v>
      </c>
      <c r="I44" s="5">
        <v>701</v>
      </c>
      <c r="J44" s="5">
        <v>13</v>
      </c>
      <c r="K44" s="5"/>
      <c r="L44" s="5">
        <v>332</v>
      </c>
      <c r="M44" s="5">
        <v>186</v>
      </c>
      <c r="N44" s="5">
        <v>90</v>
      </c>
      <c r="O44" s="5">
        <v>301</v>
      </c>
      <c r="P44" s="5"/>
      <c r="Q44" s="5">
        <v>2</v>
      </c>
      <c r="R44" s="5"/>
      <c r="S44" s="5" t="s">
        <v>114</v>
      </c>
      <c r="T44" s="5">
        <v>28</v>
      </c>
      <c r="U44" s="5"/>
    </row>
    <row r="45" spans="1:21" x14ac:dyDescent="0.35">
      <c r="A45" s="4" t="s">
        <v>111</v>
      </c>
      <c r="B45" s="4" t="s">
        <v>245</v>
      </c>
      <c r="C45" s="4" t="s">
        <v>246</v>
      </c>
      <c r="D45" s="5"/>
      <c r="E45" s="5"/>
      <c r="F45" s="5"/>
      <c r="G45" s="5"/>
      <c r="H45" s="5"/>
      <c r="I45" s="5"/>
      <c r="J45" s="5"/>
      <c r="K45" s="5"/>
      <c r="L45" s="5"/>
      <c r="M45" s="5"/>
      <c r="N45" s="5"/>
      <c r="O45" s="5"/>
      <c r="P45" s="5"/>
      <c r="Q45" s="5"/>
      <c r="R45" s="5"/>
      <c r="S45" s="5"/>
      <c r="T45" s="5"/>
      <c r="U45" s="5"/>
    </row>
    <row r="46" spans="1:21" x14ac:dyDescent="0.35">
      <c r="A46" s="4" t="s">
        <v>115</v>
      </c>
      <c r="B46" s="4" t="s">
        <v>247</v>
      </c>
      <c r="C46" s="4" t="s">
        <v>248</v>
      </c>
      <c r="D46" s="5">
        <v>7</v>
      </c>
      <c r="E46" s="5"/>
      <c r="F46" s="5"/>
      <c r="G46" s="5"/>
      <c r="H46" s="5"/>
      <c r="I46" s="5"/>
      <c r="J46" s="5"/>
      <c r="K46" s="5"/>
      <c r="L46" s="5"/>
      <c r="M46" s="5"/>
      <c r="N46" s="5"/>
      <c r="O46" s="5"/>
      <c r="P46" s="5"/>
      <c r="Q46" s="5"/>
      <c r="R46" s="5"/>
      <c r="S46" s="5"/>
      <c r="T46" s="5"/>
      <c r="U46" s="5"/>
    </row>
    <row r="47" spans="1:21" x14ac:dyDescent="0.35">
      <c r="A47" s="4" t="s">
        <v>115</v>
      </c>
      <c r="B47" s="4" t="s">
        <v>117</v>
      </c>
      <c r="C47" s="4" t="s">
        <v>118</v>
      </c>
      <c r="D47" s="5"/>
      <c r="E47" s="5">
        <v>21</v>
      </c>
      <c r="F47" s="5"/>
      <c r="G47" s="5">
        <v>147</v>
      </c>
      <c r="H47" s="5">
        <v>80</v>
      </c>
      <c r="I47" s="5">
        <v>708</v>
      </c>
      <c r="J47" s="5">
        <v>35</v>
      </c>
      <c r="K47" s="5"/>
      <c r="L47" s="5">
        <v>382</v>
      </c>
      <c r="M47" s="5">
        <v>184</v>
      </c>
      <c r="N47" s="5">
        <v>136</v>
      </c>
      <c r="O47" s="5">
        <v>359</v>
      </c>
      <c r="P47" s="5"/>
      <c r="Q47" s="5">
        <v>33</v>
      </c>
      <c r="R47" s="5"/>
      <c r="S47" s="5">
        <v>164</v>
      </c>
      <c r="T47" s="5">
        <v>48</v>
      </c>
      <c r="U47" s="5"/>
    </row>
    <row r="48" spans="1:21" x14ac:dyDescent="0.35">
      <c r="A48" s="4" t="s">
        <v>115</v>
      </c>
      <c r="B48" s="4" t="s">
        <v>119</v>
      </c>
      <c r="C48" s="4" t="s">
        <v>120</v>
      </c>
      <c r="D48" s="5"/>
      <c r="E48" s="5"/>
      <c r="F48" s="5"/>
      <c r="G48" s="5"/>
      <c r="H48" s="5"/>
      <c r="I48" s="5"/>
      <c r="J48" s="5"/>
      <c r="K48" s="5"/>
      <c r="L48" s="5"/>
      <c r="M48" s="5">
        <v>194</v>
      </c>
      <c r="N48" s="5">
        <v>112</v>
      </c>
      <c r="O48" s="5" t="s">
        <v>121</v>
      </c>
      <c r="P48" s="5"/>
      <c r="Q48" s="5"/>
      <c r="R48" s="5"/>
      <c r="S48" s="5"/>
      <c r="T48" s="5"/>
      <c r="U48" s="5"/>
    </row>
    <row r="49" spans="1:21" x14ac:dyDescent="0.35">
      <c r="A49" s="4" t="s">
        <v>115</v>
      </c>
      <c r="B49" s="4" t="s">
        <v>123</v>
      </c>
      <c r="C49" s="4" t="s">
        <v>124</v>
      </c>
      <c r="D49" s="5"/>
      <c r="E49" s="5">
        <v>37</v>
      </c>
      <c r="F49" s="5"/>
      <c r="G49" s="5"/>
      <c r="H49" s="5">
        <v>92</v>
      </c>
      <c r="I49" s="5">
        <v>714</v>
      </c>
      <c r="J49" s="5">
        <v>47</v>
      </c>
      <c r="K49" s="5"/>
      <c r="L49" s="5">
        <v>386</v>
      </c>
      <c r="M49" s="5">
        <v>199</v>
      </c>
      <c r="N49" s="5">
        <v>135</v>
      </c>
      <c r="O49" s="5">
        <v>363</v>
      </c>
      <c r="P49" s="5"/>
      <c r="Q49" s="5">
        <v>34</v>
      </c>
      <c r="R49" s="5"/>
      <c r="S49" s="5"/>
      <c r="T49" s="5">
        <v>55</v>
      </c>
      <c r="U49" s="5"/>
    </row>
    <row r="50" spans="1:21" x14ac:dyDescent="0.35">
      <c r="A50" s="4" t="s">
        <v>115</v>
      </c>
      <c r="B50" s="4" t="s">
        <v>249</v>
      </c>
      <c r="C50" s="4" t="s">
        <v>126</v>
      </c>
      <c r="D50" s="5">
        <v>9</v>
      </c>
      <c r="E50" s="5"/>
      <c r="F50" s="5"/>
      <c r="G50" s="5"/>
      <c r="H50" s="5"/>
      <c r="I50" s="5"/>
      <c r="J50" s="5"/>
      <c r="K50" s="5"/>
      <c r="L50" s="5"/>
      <c r="M50" s="5"/>
      <c r="N50" s="5"/>
      <c r="O50" s="5"/>
      <c r="P50" s="5"/>
      <c r="Q50" s="5"/>
      <c r="R50" s="5"/>
      <c r="S50" s="5"/>
      <c r="T50" s="5"/>
      <c r="U50" s="5"/>
    </row>
    <row r="51" spans="1:21" x14ac:dyDescent="0.35">
      <c r="A51" s="4" t="s">
        <v>115</v>
      </c>
      <c r="B51" s="4" t="s">
        <v>129</v>
      </c>
      <c r="C51" s="4" t="s">
        <v>250</v>
      </c>
      <c r="D51" s="5">
        <v>9</v>
      </c>
      <c r="E51" s="5"/>
      <c r="F51" s="5"/>
      <c r="G51" s="5"/>
      <c r="H51" s="5"/>
      <c r="I51" s="5" t="s">
        <v>251</v>
      </c>
      <c r="J51" s="5">
        <v>54</v>
      </c>
      <c r="K51" s="5"/>
      <c r="L51" s="5"/>
      <c r="M51" s="5"/>
      <c r="N51" s="5"/>
      <c r="O51" s="5"/>
      <c r="P51" s="5"/>
      <c r="Q51" s="5"/>
      <c r="R51" s="5"/>
      <c r="S51" s="5"/>
      <c r="T51" s="5">
        <v>68</v>
      </c>
      <c r="U51" s="5"/>
    </row>
    <row r="52" spans="1:21" x14ac:dyDescent="0.35">
      <c r="A52" s="4" t="s">
        <v>115</v>
      </c>
      <c r="B52" s="4" t="s">
        <v>252</v>
      </c>
      <c r="C52" s="4" t="s">
        <v>253</v>
      </c>
      <c r="D52" s="5">
        <v>7</v>
      </c>
      <c r="E52" s="5"/>
      <c r="F52" s="5"/>
      <c r="G52" s="5"/>
      <c r="H52" s="5"/>
      <c r="I52" s="5"/>
      <c r="J52" s="5"/>
      <c r="K52" s="5"/>
      <c r="L52" s="5"/>
      <c r="M52" s="5"/>
      <c r="N52" s="5"/>
      <c r="O52" s="5"/>
      <c r="P52" s="5"/>
      <c r="Q52" s="5"/>
      <c r="R52" s="5"/>
      <c r="S52" s="5"/>
      <c r="T52" s="5"/>
      <c r="U52" s="5"/>
    </row>
    <row r="53" spans="1:21" x14ac:dyDescent="0.35">
      <c r="A53" s="4" t="s">
        <v>115</v>
      </c>
      <c r="B53" s="4" t="s">
        <v>134</v>
      </c>
      <c r="C53" s="4" t="s">
        <v>254</v>
      </c>
      <c r="D53" s="5"/>
      <c r="E53" s="5"/>
      <c r="F53" s="5"/>
      <c r="G53" s="5"/>
      <c r="H53" s="5"/>
      <c r="I53" s="5"/>
      <c r="J53" s="5"/>
      <c r="K53" s="5"/>
      <c r="L53" s="5"/>
      <c r="M53" s="5"/>
      <c r="N53" s="5"/>
      <c r="O53" s="5"/>
      <c r="P53" s="5"/>
      <c r="Q53" s="5"/>
      <c r="R53" s="5"/>
      <c r="S53" s="5"/>
      <c r="T53" s="5"/>
      <c r="U53" s="5"/>
    </row>
    <row r="54" spans="1:21" x14ac:dyDescent="0.35">
      <c r="A54" s="4" t="s">
        <v>136</v>
      </c>
      <c r="B54" s="4" t="s">
        <v>255</v>
      </c>
      <c r="C54" s="4" t="s">
        <v>256</v>
      </c>
      <c r="D54" s="5">
        <v>1</v>
      </c>
      <c r="E54" s="5">
        <v>313</v>
      </c>
      <c r="F54" s="5"/>
      <c r="G54" s="5">
        <v>34</v>
      </c>
      <c r="H54" s="5"/>
      <c r="I54" s="5"/>
      <c r="J54" s="5"/>
      <c r="K54" s="5"/>
      <c r="L54" s="5"/>
      <c r="M54" s="5"/>
      <c r="N54" s="5"/>
      <c r="O54" s="5"/>
      <c r="P54" s="5"/>
      <c r="Q54" s="5"/>
      <c r="R54" s="5"/>
      <c r="S54" s="5"/>
      <c r="T54" s="5"/>
      <c r="U54" s="5"/>
    </row>
    <row r="55" spans="1:21" x14ac:dyDescent="0.35">
      <c r="A55" s="4" t="s">
        <v>140</v>
      </c>
      <c r="B55" s="4" t="s">
        <v>141</v>
      </c>
      <c r="C55" s="4" t="s">
        <v>142</v>
      </c>
      <c r="D55" s="5"/>
      <c r="E55" s="5"/>
      <c r="F55" s="5"/>
      <c r="G55" s="5"/>
      <c r="H55" s="5"/>
      <c r="I55" s="5" t="s">
        <v>143</v>
      </c>
      <c r="J55" s="5">
        <v>10</v>
      </c>
      <c r="K55" s="5"/>
      <c r="L55" s="5">
        <v>460</v>
      </c>
      <c r="M55" s="5"/>
      <c r="N55" s="5"/>
      <c r="O55" s="5"/>
      <c r="P55" s="5"/>
      <c r="Q55" s="5"/>
      <c r="R55" s="5"/>
      <c r="S55" s="5"/>
      <c r="T55" s="5">
        <v>137</v>
      </c>
      <c r="U55" s="5"/>
    </row>
    <row r="56" spans="1:21" x14ac:dyDescent="0.35">
      <c r="A56" s="4" t="s">
        <v>140</v>
      </c>
      <c r="B56" s="4" t="s">
        <v>144</v>
      </c>
      <c r="C56" s="4" t="s">
        <v>145</v>
      </c>
      <c r="D56" s="5"/>
      <c r="E56" s="5">
        <v>99</v>
      </c>
      <c r="F56" s="5"/>
      <c r="G56" s="5">
        <v>224</v>
      </c>
      <c r="H56" s="5">
        <v>195</v>
      </c>
      <c r="I56" s="5"/>
      <c r="J56" s="5">
        <v>123</v>
      </c>
      <c r="K56" s="5"/>
      <c r="L56" s="5">
        <v>458</v>
      </c>
      <c r="M56" s="5">
        <v>330</v>
      </c>
      <c r="N56" s="5">
        <v>343</v>
      </c>
      <c r="O56" s="5" t="s">
        <v>146</v>
      </c>
      <c r="P56" s="5">
        <v>720</v>
      </c>
      <c r="Q56" s="5">
        <v>161</v>
      </c>
      <c r="R56" s="5"/>
      <c r="S56" s="5">
        <v>218</v>
      </c>
      <c r="T56" s="5">
        <v>134</v>
      </c>
      <c r="U56" s="5"/>
    </row>
    <row r="57" spans="1:21" x14ac:dyDescent="0.35">
      <c r="A57" s="4" t="s">
        <v>140</v>
      </c>
      <c r="B57" s="4" t="s">
        <v>147</v>
      </c>
      <c r="C57" s="4" t="s">
        <v>148</v>
      </c>
      <c r="D57" s="5"/>
      <c r="E57" s="5">
        <v>98</v>
      </c>
      <c r="F57" s="5"/>
      <c r="G57" s="5"/>
      <c r="H57" s="5">
        <v>187</v>
      </c>
      <c r="I57" s="5" t="s">
        <v>149</v>
      </c>
      <c r="J57" s="5">
        <v>124</v>
      </c>
      <c r="K57" s="5"/>
      <c r="L57" s="5">
        <v>459</v>
      </c>
      <c r="M57" s="5"/>
      <c r="N57" s="5"/>
      <c r="O57" s="5">
        <v>458</v>
      </c>
      <c r="P57" s="5"/>
      <c r="Q57" s="5">
        <v>144</v>
      </c>
      <c r="R57" s="5"/>
      <c r="S57" s="5"/>
      <c r="T57" s="5">
        <v>136</v>
      </c>
      <c r="U57" s="5"/>
    </row>
    <row r="58" spans="1:21" x14ac:dyDescent="0.35">
      <c r="A58" s="4" t="s">
        <v>140</v>
      </c>
      <c r="B58" s="4" t="s">
        <v>150</v>
      </c>
      <c r="C58" s="4" t="s">
        <v>151</v>
      </c>
      <c r="D58" s="5"/>
      <c r="E58" s="5">
        <v>96</v>
      </c>
      <c r="F58" s="5"/>
      <c r="G58" s="5"/>
      <c r="H58" s="5"/>
      <c r="I58" s="5"/>
      <c r="J58" s="5"/>
      <c r="K58" s="5"/>
      <c r="L58" s="5"/>
      <c r="M58" s="5"/>
      <c r="N58" s="5"/>
      <c r="O58" s="5"/>
      <c r="P58" s="5"/>
      <c r="Q58" s="5"/>
      <c r="R58" s="5"/>
      <c r="S58" s="5"/>
      <c r="T58" s="5"/>
      <c r="U58" s="5"/>
    </row>
    <row r="59" spans="1:21" x14ac:dyDescent="0.35">
      <c r="A59" s="4" t="s">
        <v>140</v>
      </c>
      <c r="B59" s="4" t="s">
        <v>152</v>
      </c>
      <c r="C59" s="4" t="s">
        <v>153</v>
      </c>
      <c r="D59" s="5"/>
      <c r="E59" s="5"/>
      <c r="F59" s="5"/>
      <c r="G59" s="5"/>
      <c r="H59" s="5">
        <v>199</v>
      </c>
      <c r="I59" s="5"/>
      <c r="J59" s="5">
        <v>127</v>
      </c>
      <c r="K59" s="5"/>
      <c r="L59" s="5">
        <v>457</v>
      </c>
      <c r="M59" s="5"/>
      <c r="N59" s="5">
        <v>352</v>
      </c>
      <c r="O59" s="5">
        <v>438</v>
      </c>
      <c r="P59" s="5"/>
      <c r="Q59" s="5">
        <v>157</v>
      </c>
      <c r="R59" s="5"/>
      <c r="S59" s="5"/>
      <c r="T59" s="5">
        <v>151</v>
      </c>
      <c r="U59" s="5"/>
    </row>
    <row r="60" spans="1:21" x14ac:dyDescent="0.35">
      <c r="A60" s="4" t="s">
        <v>154</v>
      </c>
      <c r="B60" s="4" t="s">
        <v>155</v>
      </c>
      <c r="C60" s="4" t="s">
        <v>156</v>
      </c>
      <c r="D60" s="5"/>
      <c r="E60" s="5">
        <v>119</v>
      </c>
      <c r="F60" s="5"/>
      <c r="G60" s="5"/>
      <c r="H60" s="5"/>
      <c r="I60" s="5"/>
      <c r="J60" s="5"/>
      <c r="K60" s="5"/>
      <c r="L60" s="5"/>
      <c r="M60" s="5"/>
      <c r="N60" s="5"/>
      <c r="O60" s="5"/>
      <c r="P60" s="5"/>
      <c r="Q60" s="5"/>
      <c r="R60" s="5"/>
      <c r="S60" s="5"/>
      <c r="T60" s="5"/>
      <c r="U60" s="5"/>
    </row>
    <row r="61" spans="1:21" x14ac:dyDescent="0.35">
      <c r="A61" s="4" t="s">
        <v>157</v>
      </c>
      <c r="B61" s="4" t="s">
        <v>158</v>
      </c>
      <c r="C61" s="4" t="s">
        <v>49</v>
      </c>
      <c r="D61" s="5">
        <v>3</v>
      </c>
      <c r="E61" s="5"/>
      <c r="F61" s="5"/>
      <c r="G61" s="5"/>
      <c r="H61" s="5">
        <v>227</v>
      </c>
      <c r="I61" s="5"/>
      <c r="J61" s="5"/>
      <c r="K61" s="5"/>
      <c r="L61" s="5"/>
      <c r="M61" s="5">
        <v>382</v>
      </c>
      <c r="N61" s="5">
        <v>11</v>
      </c>
      <c r="O61" s="5"/>
      <c r="P61" s="5"/>
      <c r="Q61" s="5"/>
      <c r="R61" s="5"/>
      <c r="S61" s="5"/>
      <c r="T61" s="5"/>
      <c r="U61" s="5"/>
    </row>
    <row r="62" spans="1:21" x14ac:dyDescent="0.35">
      <c r="A62" s="4" t="s">
        <v>157</v>
      </c>
      <c r="B62" s="4" t="s">
        <v>159</v>
      </c>
      <c r="C62" s="4" t="s">
        <v>160</v>
      </c>
      <c r="D62" s="5"/>
      <c r="E62" s="5"/>
      <c r="F62" s="5"/>
      <c r="G62" s="5"/>
      <c r="H62" s="5"/>
      <c r="I62" s="5"/>
      <c r="J62" s="5"/>
      <c r="K62" s="5"/>
      <c r="L62" s="5"/>
      <c r="M62" s="5"/>
      <c r="N62" s="5"/>
      <c r="O62" s="5"/>
      <c r="P62" s="5"/>
      <c r="Q62" s="5"/>
      <c r="R62" s="5"/>
      <c r="S62" s="5"/>
      <c r="T62" s="5"/>
      <c r="U62" s="5"/>
    </row>
    <row r="63" spans="1:21" x14ac:dyDescent="0.35">
      <c r="A63" s="4" t="s">
        <v>157</v>
      </c>
      <c r="B63" s="4" t="s">
        <v>161</v>
      </c>
      <c r="C63" s="4" t="s">
        <v>162</v>
      </c>
      <c r="D63" s="5"/>
      <c r="E63" s="5"/>
      <c r="F63" s="5"/>
      <c r="G63" s="5"/>
      <c r="H63" s="5"/>
      <c r="I63" s="5"/>
      <c r="J63" s="5"/>
      <c r="K63" s="5"/>
      <c r="L63" s="5"/>
      <c r="M63" s="5"/>
      <c r="N63" s="5"/>
      <c r="O63" s="5"/>
      <c r="P63" s="5"/>
      <c r="Q63" s="5"/>
      <c r="R63" s="5"/>
      <c r="S63" s="5"/>
      <c r="T63" s="5"/>
      <c r="U63" s="5"/>
    </row>
    <row r="64" spans="1:21" x14ac:dyDescent="0.35">
      <c r="A64" s="3" t="s">
        <v>163</v>
      </c>
    </row>
    <row r="65" spans="1:21" x14ac:dyDescent="0.35">
      <c r="A65" s="4" t="s">
        <v>164</v>
      </c>
      <c r="B65" s="4" t="s">
        <v>165</v>
      </c>
      <c r="C65" s="4" t="s">
        <v>166</v>
      </c>
      <c r="D65" s="5">
        <v>6</v>
      </c>
      <c r="E65" s="5"/>
      <c r="F65" s="5"/>
      <c r="G65" s="5">
        <v>575</v>
      </c>
      <c r="H65" s="5"/>
      <c r="I65" s="5"/>
      <c r="J65" s="5"/>
      <c r="K65" s="5"/>
      <c r="L65" s="5"/>
      <c r="M65" s="5"/>
      <c r="N65" s="5"/>
      <c r="O65" s="5"/>
      <c r="P65" s="5"/>
      <c r="Q65" s="5"/>
      <c r="R65" s="5"/>
      <c r="S65" s="5"/>
      <c r="T65" s="5"/>
      <c r="U65" s="5"/>
    </row>
    <row r="66" spans="1:21" x14ac:dyDescent="0.35">
      <c r="A66" s="4" t="s">
        <v>167</v>
      </c>
      <c r="B66" s="4" t="s">
        <v>168</v>
      </c>
      <c r="C66" s="4" t="s">
        <v>169</v>
      </c>
      <c r="D66" s="5">
        <v>6</v>
      </c>
      <c r="E66" s="5"/>
      <c r="F66" s="5"/>
      <c r="G66" s="5">
        <v>570</v>
      </c>
      <c r="H66" s="5"/>
      <c r="I66" s="5"/>
      <c r="J66" s="5"/>
      <c r="K66" s="5"/>
      <c r="L66" s="5"/>
      <c r="M66" s="5"/>
      <c r="N66" s="5"/>
      <c r="O66" s="5"/>
      <c r="P66" s="5"/>
      <c r="Q66" s="5"/>
      <c r="R66" s="5"/>
      <c r="S66" s="5"/>
      <c r="T66" s="5"/>
      <c r="U66" s="5"/>
    </row>
    <row r="67" spans="1:21" x14ac:dyDescent="0.35">
      <c r="A67" s="4" t="s">
        <v>257</v>
      </c>
      <c r="B67" s="4" t="s">
        <v>258</v>
      </c>
      <c r="C67" s="4" t="s">
        <v>259</v>
      </c>
      <c r="D67" s="5"/>
      <c r="E67" s="5"/>
      <c r="F67" s="5"/>
      <c r="G67" s="5"/>
      <c r="H67" s="5"/>
      <c r="I67" s="5"/>
      <c r="J67" s="5"/>
      <c r="K67" s="5"/>
      <c r="L67" s="5"/>
      <c r="M67" s="5"/>
      <c r="N67" s="5"/>
      <c r="O67" s="5"/>
      <c r="P67" s="5"/>
      <c r="Q67" s="5"/>
      <c r="R67" s="5"/>
      <c r="S67" s="5"/>
      <c r="T67" s="5"/>
      <c r="U67" s="5"/>
    </row>
    <row r="68" spans="1:21" x14ac:dyDescent="0.35">
      <c r="A68" s="4" t="s">
        <v>170</v>
      </c>
      <c r="B68" s="4" t="s">
        <v>260</v>
      </c>
      <c r="C68" s="4" t="s">
        <v>261</v>
      </c>
      <c r="D68" s="5"/>
      <c r="E68" s="5"/>
      <c r="F68" s="5"/>
      <c r="G68" s="5"/>
      <c r="H68" s="5"/>
      <c r="I68" s="5"/>
      <c r="J68" s="5"/>
      <c r="K68" s="5"/>
      <c r="L68" s="5"/>
      <c r="M68" s="5"/>
      <c r="N68" s="5"/>
      <c r="O68" s="5"/>
      <c r="P68" s="5"/>
      <c r="Q68" s="5"/>
      <c r="R68" s="5"/>
      <c r="S68" s="5"/>
      <c r="T68" s="5"/>
      <c r="U68" s="5"/>
    </row>
    <row r="69" spans="1:21" x14ac:dyDescent="0.35">
      <c r="A69" s="4" t="s">
        <v>170</v>
      </c>
      <c r="B69" s="4" t="s">
        <v>239</v>
      </c>
      <c r="C69" s="4" t="s">
        <v>240</v>
      </c>
      <c r="D69" s="5">
        <v>7</v>
      </c>
      <c r="E69" s="5"/>
      <c r="F69" s="5"/>
      <c r="G69" s="5"/>
      <c r="H69" s="5"/>
      <c r="I69" s="5"/>
      <c r="J69" s="5"/>
      <c r="K69" s="5"/>
      <c r="L69" s="5"/>
      <c r="M69" s="5"/>
      <c r="N69" s="5"/>
      <c r="O69" s="5"/>
      <c r="P69" s="5"/>
      <c r="Q69" s="5"/>
      <c r="R69" s="5"/>
      <c r="S69" s="5"/>
      <c r="T69" s="5"/>
      <c r="U69" s="5"/>
    </row>
    <row r="70" spans="1:21" x14ac:dyDescent="0.35">
      <c r="A70" s="4" t="s">
        <v>170</v>
      </c>
      <c r="B70" s="4" t="s">
        <v>262</v>
      </c>
      <c r="C70" s="4" t="s">
        <v>263</v>
      </c>
      <c r="D70" s="5"/>
      <c r="E70" s="5"/>
      <c r="F70" s="5"/>
      <c r="G70" s="5"/>
      <c r="H70" s="5"/>
      <c r="I70" s="5"/>
      <c r="J70" s="5"/>
      <c r="K70" s="5"/>
      <c r="L70" s="5"/>
      <c r="M70" s="5"/>
      <c r="N70" s="5"/>
      <c r="O70" s="5"/>
      <c r="P70" s="5"/>
      <c r="Q70" s="5"/>
      <c r="R70" s="5"/>
      <c r="S70" s="5"/>
      <c r="T70" s="5"/>
      <c r="U70" s="5"/>
    </row>
    <row r="71" spans="1:21" x14ac:dyDescent="0.35">
      <c r="A71" s="4" t="s">
        <v>170</v>
      </c>
      <c r="B71" s="4" t="s">
        <v>171</v>
      </c>
      <c r="C71" s="4" t="s">
        <v>172</v>
      </c>
      <c r="D71" s="5">
        <v>6</v>
      </c>
      <c r="E71" s="5"/>
      <c r="F71" s="5"/>
      <c r="G71" s="5"/>
      <c r="H71" s="5">
        <v>275</v>
      </c>
      <c r="I71" s="5"/>
      <c r="J71" s="5">
        <v>211</v>
      </c>
      <c r="K71" s="5"/>
      <c r="L71" s="5">
        <v>934</v>
      </c>
      <c r="M71" s="5"/>
      <c r="N71" s="5">
        <v>47</v>
      </c>
      <c r="O71" s="5"/>
      <c r="P71" s="5"/>
      <c r="Q71" s="5">
        <v>274</v>
      </c>
      <c r="R71" s="5"/>
      <c r="S71" s="5">
        <v>314</v>
      </c>
      <c r="T71" s="5">
        <v>180</v>
      </c>
      <c r="U71" s="5"/>
    </row>
    <row r="72" spans="1:21" x14ac:dyDescent="0.35">
      <c r="A72" s="4" t="s">
        <v>173</v>
      </c>
      <c r="B72" s="4" t="s">
        <v>174</v>
      </c>
      <c r="C72" s="4" t="s">
        <v>175</v>
      </c>
      <c r="D72" s="5"/>
      <c r="E72" s="5">
        <v>416</v>
      </c>
      <c r="F72" s="5"/>
      <c r="G72" s="5"/>
      <c r="H72" s="5">
        <v>590</v>
      </c>
      <c r="I72" s="5"/>
      <c r="J72" s="5">
        <v>265</v>
      </c>
      <c r="K72" s="5"/>
      <c r="L72" s="5">
        <v>755</v>
      </c>
      <c r="M72" s="5">
        <v>240</v>
      </c>
      <c r="N72" s="5">
        <v>527</v>
      </c>
      <c r="O72" s="5">
        <v>843</v>
      </c>
      <c r="P72" s="5"/>
      <c r="Q72" s="5">
        <v>534</v>
      </c>
      <c r="R72" s="5"/>
      <c r="S72" s="5">
        <v>257</v>
      </c>
      <c r="T72" s="5">
        <v>350</v>
      </c>
      <c r="U72" s="5"/>
    </row>
    <row r="73" spans="1:21" x14ac:dyDescent="0.35">
      <c r="A73" s="4" t="s">
        <v>173</v>
      </c>
      <c r="B73" s="4" t="s">
        <v>98</v>
      </c>
      <c r="C73" s="4" t="s">
        <v>99</v>
      </c>
      <c r="D73" s="5">
        <v>6</v>
      </c>
      <c r="E73" s="5"/>
      <c r="F73" s="5"/>
      <c r="G73" s="5"/>
      <c r="H73" s="5" t="s">
        <v>100</v>
      </c>
      <c r="I73" s="5"/>
      <c r="J73" s="5"/>
      <c r="K73" s="5"/>
      <c r="L73" s="5"/>
      <c r="M73" s="5"/>
      <c r="N73" s="5" t="s">
        <v>101</v>
      </c>
      <c r="O73" s="5">
        <v>951</v>
      </c>
      <c r="P73" s="5" t="s">
        <v>103</v>
      </c>
      <c r="Q73" s="5" t="s">
        <v>102</v>
      </c>
      <c r="R73" s="5"/>
      <c r="S73" s="5"/>
      <c r="T73" s="5"/>
      <c r="U73" s="5"/>
    </row>
    <row r="74" spans="1:21" x14ac:dyDescent="0.35">
      <c r="A74" s="3" t="s">
        <v>176</v>
      </c>
    </row>
    <row r="75" spans="1:21" x14ac:dyDescent="0.35">
      <c r="A75" s="4" t="s">
        <v>177</v>
      </c>
      <c r="B75" s="4" t="s">
        <v>178</v>
      </c>
      <c r="C75" s="4" t="s">
        <v>179</v>
      </c>
      <c r="D75" s="5"/>
      <c r="E75" s="5">
        <v>180</v>
      </c>
      <c r="F75" s="5"/>
      <c r="G75" s="5">
        <v>391</v>
      </c>
      <c r="H75" s="5">
        <v>287</v>
      </c>
      <c r="I75" s="5"/>
      <c r="J75" s="5">
        <v>331</v>
      </c>
      <c r="K75" s="5"/>
      <c r="L75" s="5">
        <v>581</v>
      </c>
      <c r="M75" s="5"/>
      <c r="N75" s="5" t="s">
        <v>180</v>
      </c>
      <c r="O75" s="5">
        <v>634</v>
      </c>
      <c r="P75" s="5"/>
      <c r="Q75" s="5">
        <v>285</v>
      </c>
      <c r="R75" s="5"/>
      <c r="S75" s="5">
        <v>275</v>
      </c>
      <c r="T75" s="5"/>
      <c r="U75" s="5"/>
    </row>
    <row r="76" spans="1:21" x14ac:dyDescent="0.35">
      <c r="A76" s="4" t="s">
        <v>177</v>
      </c>
      <c r="B76" s="4" t="s">
        <v>181</v>
      </c>
      <c r="C76" s="4" t="s">
        <v>182</v>
      </c>
      <c r="D76" s="5"/>
      <c r="E76" s="5">
        <v>181</v>
      </c>
      <c r="F76" s="5"/>
      <c r="G76" s="5">
        <v>392</v>
      </c>
      <c r="H76" s="5"/>
      <c r="I76" s="5"/>
      <c r="J76" s="5"/>
      <c r="K76" s="5"/>
      <c r="L76" s="5"/>
      <c r="M76" s="5"/>
      <c r="N76" s="5"/>
      <c r="O76" s="5"/>
      <c r="P76" s="5"/>
      <c r="Q76" s="5"/>
      <c r="R76" s="5"/>
      <c r="S76" s="5">
        <v>274</v>
      </c>
      <c r="T76" s="5"/>
      <c r="U76" s="5"/>
    </row>
    <row r="77" spans="1:21" x14ac:dyDescent="0.35">
      <c r="A77" s="4" t="s">
        <v>30</v>
      </c>
      <c r="B77" s="4" t="s">
        <v>31</v>
      </c>
      <c r="C77" s="4" t="s">
        <v>32</v>
      </c>
      <c r="D77" s="5">
        <v>2</v>
      </c>
      <c r="E77" s="5">
        <v>183</v>
      </c>
      <c r="F77" s="5"/>
      <c r="G77" s="5">
        <v>394</v>
      </c>
      <c r="H77" s="5">
        <v>251</v>
      </c>
      <c r="I77" s="5"/>
      <c r="J77" s="5">
        <v>213</v>
      </c>
      <c r="K77" s="5"/>
      <c r="L77" s="5">
        <v>954</v>
      </c>
      <c r="M77" s="5">
        <v>71</v>
      </c>
      <c r="N77" s="5">
        <v>38</v>
      </c>
      <c r="O77" s="5">
        <v>940</v>
      </c>
      <c r="P77" s="5"/>
      <c r="Q77" s="5">
        <v>270</v>
      </c>
      <c r="R77" s="5"/>
      <c r="S77" s="5">
        <v>237</v>
      </c>
      <c r="T77" s="5">
        <v>374</v>
      </c>
      <c r="U77" s="5"/>
    </row>
    <row r="78" spans="1:21" x14ac:dyDescent="0.35">
      <c r="A78" s="4" t="s">
        <v>30</v>
      </c>
      <c r="B78" s="4" t="s">
        <v>264</v>
      </c>
      <c r="C78" s="4" t="s">
        <v>265</v>
      </c>
      <c r="D78" s="5">
        <v>10</v>
      </c>
      <c r="E78" s="5"/>
      <c r="F78" s="5"/>
      <c r="G78" s="5"/>
      <c r="H78" s="5"/>
      <c r="I78" s="5"/>
      <c r="J78" s="5"/>
      <c r="K78" s="5"/>
      <c r="L78" s="5"/>
      <c r="M78" s="5"/>
      <c r="N78" s="5"/>
      <c r="O78" s="5"/>
      <c r="P78" s="5"/>
      <c r="Q78" s="5"/>
      <c r="R78" s="5"/>
      <c r="S78" s="5"/>
      <c r="T78" s="5"/>
      <c r="U78" s="5"/>
    </row>
    <row r="79" spans="1:21" x14ac:dyDescent="0.35">
      <c r="A79" s="4" t="s">
        <v>36</v>
      </c>
      <c r="B79" s="4" t="s">
        <v>37</v>
      </c>
      <c r="C79" s="4" t="s">
        <v>38</v>
      </c>
      <c r="D79" s="5"/>
      <c r="E79" s="5">
        <v>185</v>
      </c>
      <c r="F79" s="5"/>
      <c r="G79" s="5">
        <v>396</v>
      </c>
      <c r="H79" s="5">
        <v>458</v>
      </c>
      <c r="I79" s="5"/>
      <c r="J79" s="5" t="s">
        <v>39</v>
      </c>
      <c r="K79" s="5"/>
      <c r="L79" s="5">
        <v>766</v>
      </c>
      <c r="M79" s="5">
        <v>359</v>
      </c>
      <c r="N79" s="5">
        <v>383</v>
      </c>
      <c r="O79" s="5"/>
      <c r="P79" s="5"/>
      <c r="Q79" s="5">
        <v>410</v>
      </c>
      <c r="R79" s="5"/>
      <c r="S79" s="5">
        <v>276</v>
      </c>
      <c r="T79" s="5"/>
      <c r="U79" s="5"/>
    </row>
    <row r="80" spans="1:21" x14ac:dyDescent="0.35">
      <c r="A80" s="4" t="s">
        <v>183</v>
      </c>
      <c r="B80" s="4" t="s">
        <v>184</v>
      </c>
      <c r="C80" s="4" t="s">
        <v>185</v>
      </c>
      <c r="D80" s="5"/>
      <c r="E80" s="5">
        <v>186</v>
      </c>
      <c r="F80" s="5"/>
      <c r="G80" s="5">
        <v>401</v>
      </c>
      <c r="H80" s="5"/>
      <c r="I80" s="5"/>
      <c r="J80" s="5">
        <v>223</v>
      </c>
      <c r="K80" s="5"/>
      <c r="L80" s="5" t="s">
        <v>186</v>
      </c>
      <c r="M80" s="5"/>
      <c r="N80" s="5">
        <v>247</v>
      </c>
      <c r="O80" s="5">
        <v>378</v>
      </c>
      <c r="P80" s="5"/>
      <c r="Q80" s="5">
        <v>88</v>
      </c>
      <c r="R80" s="5"/>
      <c r="S80" s="5">
        <v>184</v>
      </c>
      <c r="T80" s="5">
        <v>79</v>
      </c>
      <c r="U80" s="5"/>
    </row>
    <row r="81" spans="1:21" x14ac:dyDescent="0.35">
      <c r="A81" s="4" t="s">
        <v>187</v>
      </c>
      <c r="B81" s="4" t="s">
        <v>188</v>
      </c>
      <c r="C81" s="4" t="s">
        <v>83</v>
      </c>
      <c r="D81" s="5"/>
      <c r="E81" s="5">
        <v>205</v>
      </c>
      <c r="F81" s="5"/>
      <c r="G81" s="5">
        <v>441</v>
      </c>
      <c r="H81" s="5">
        <v>311</v>
      </c>
      <c r="I81" s="5"/>
      <c r="J81" s="5" t="s">
        <v>84</v>
      </c>
      <c r="K81" s="5"/>
      <c r="L81" s="5">
        <v>627</v>
      </c>
      <c r="M81" s="5"/>
      <c r="N81" s="5" t="s">
        <v>85</v>
      </c>
      <c r="O81" s="5">
        <v>659</v>
      </c>
      <c r="P81" s="5"/>
      <c r="Q81" s="5">
        <v>313</v>
      </c>
      <c r="R81" s="5"/>
      <c r="S81" s="5">
        <v>205</v>
      </c>
      <c r="T81" s="5"/>
      <c r="U81" s="5"/>
    </row>
    <row r="82" spans="1:21" x14ac:dyDescent="0.35">
      <c r="A82" s="4" t="s">
        <v>187</v>
      </c>
      <c r="B82" s="4" t="s">
        <v>86</v>
      </c>
      <c r="C82" s="4" t="s">
        <v>87</v>
      </c>
      <c r="D82" s="5"/>
      <c r="E82" s="5">
        <v>195</v>
      </c>
      <c r="F82" s="5"/>
      <c r="G82" s="5">
        <v>431</v>
      </c>
      <c r="H82" s="5">
        <v>313</v>
      </c>
      <c r="I82" s="5"/>
      <c r="J82" s="5">
        <v>238</v>
      </c>
      <c r="K82" s="5"/>
      <c r="L82" s="5">
        <v>617</v>
      </c>
      <c r="M82" s="5">
        <v>156</v>
      </c>
      <c r="N82" s="5">
        <v>327</v>
      </c>
      <c r="O82" s="5">
        <v>673</v>
      </c>
      <c r="P82" s="5"/>
      <c r="Q82" s="5">
        <v>317</v>
      </c>
      <c r="R82" s="5"/>
      <c r="S82" s="5">
        <v>207</v>
      </c>
      <c r="T82" s="5">
        <v>215</v>
      </c>
      <c r="U82" s="5"/>
    </row>
    <row r="83" spans="1:21" x14ac:dyDescent="0.35">
      <c r="A83" s="4" t="s">
        <v>189</v>
      </c>
      <c r="B83" s="4" t="s">
        <v>190</v>
      </c>
      <c r="C83" s="4" t="s">
        <v>64</v>
      </c>
      <c r="D83" s="5"/>
      <c r="E83" s="5">
        <v>214</v>
      </c>
      <c r="F83" s="5"/>
      <c r="G83" s="5">
        <v>415</v>
      </c>
      <c r="H83" s="5">
        <v>329</v>
      </c>
      <c r="I83" s="5"/>
      <c r="J83" s="5">
        <v>230</v>
      </c>
      <c r="K83" s="5"/>
      <c r="L83" s="5">
        <v>607</v>
      </c>
      <c r="M83" s="5">
        <v>273</v>
      </c>
      <c r="N83" s="5">
        <v>452</v>
      </c>
      <c r="O83" s="5">
        <v>650</v>
      </c>
      <c r="P83" s="5"/>
      <c r="Q83" s="5">
        <v>305</v>
      </c>
      <c r="R83" s="5"/>
      <c r="S83" s="5">
        <v>190</v>
      </c>
      <c r="T83" s="5">
        <v>295</v>
      </c>
      <c r="U83" s="5"/>
    </row>
    <row r="84" spans="1:21" x14ac:dyDescent="0.35">
      <c r="A84" s="4" t="s">
        <v>189</v>
      </c>
      <c r="B84" s="4" t="s">
        <v>266</v>
      </c>
      <c r="C84" s="4" t="s">
        <v>235</v>
      </c>
      <c r="D84" s="5">
        <v>4</v>
      </c>
      <c r="E84" s="5"/>
      <c r="F84" s="5"/>
      <c r="G84" s="5"/>
      <c r="H84" s="5"/>
      <c r="I84" s="5"/>
      <c r="J84" s="5"/>
      <c r="K84" s="5"/>
      <c r="L84" s="5"/>
      <c r="M84" s="5"/>
      <c r="N84" s="5"/>
      <c r="O84" s="5"/>
      <c r="P84" s="5"/>
      <c r="Q84" s="5"/>
      <c r="R84" s="5"/>
      <c r="S84" s="5"/>
      <c r="T84" s="5"/>
      <c r="U84" s="5"/>
    </row>
    <row r="85" spans="1:21" x14ac:dyDescent="0.35">
      <c r="A85" s="4" t="s">
        <v>189</v>
      </c>
      <c r="B85" s="4" t="s">
        <v>191</v>
      </c>
      <c r="C85" s="4" t="s">
        <v>192</v>
      </c>
      <c r="D85" s="5">
        <v>11</v>
      </c>
      <c r="E85" s="5">
        <v>192</v>
      </c>
      <c r="F85" s="5"/>
      <c r="G85" s="5">
        <v>426</v>
      </c>
      <c r="H85" s="5">
        <v>331</v>
      </c>
      <c r="I85" s="5"/>
      <c r="J85" s="5">
        <v>235</v>
      </c>
      <c r="K85" s="5"/>
      <c r="L85" s="5">
        <v>614</v>
      </c>
      <c r="M85" s="5">
        <v>401</v>
      </c>
      <c r="N85" s="5">
        <v>417</v>
      </c>
      <c r="O85" s="5">
        <v>656</v>
      </c>
      <c r="P85" s="5"/>
      <c r="Q85" s="5">
        <v>308</v>
      </c>
      <c r="R85" s="5"/>
      <c r="S85" s="5"/>
      <c r="T85" s="5"/>
      <c r="U85" s="5"/>
    </row>
    <row r="86" spans="1:21" x14ac:dyDescent="0.35">
      <c r="A86" s="3" t="s">
        <v>193</v>
      </c>
    </row>
    <row r="87" spans="1:21" x14ac:dyDescent="0.35">
      <c r="A87" s="4" t="s">
        <v>183</v>
      </c>
      <c r="B87" s="4" t="s">
        <v>184</v>
      </c>
      <c r="C87" s="4" t="s">
        <v>185</v>
      </c>
      <c r="D87" s="5"/>
      <c r="E87" s="5">
        <v>186</v>
      </c>
      <c r="F87" s="5"/>
      <c r="G87" s="5">
        <v>401</v>
      </c>
      <c r="H87" s="5"/>
      <c r="I87" s="5"/>
      <c r="J87" s="5">
        <v>223</v>
      </c>
      <c r="K87" s="5"/>
      <c r="L87" s="5" t="s">
        <v>186</v>
      </c>
      <c r="M87" s="5"/>
      <c r="N87" s="5">
        <v>247</v>
      </c>
      <c r="O87" s="5">
        <v>378</v>
      </c>
      <c r="P87" s="5"/>
      <c r="Q87" s="5">
        <v>88</v>
      </c>
      <c r="R87" s="5"/>
      <c r="S87" s="5">
        <v>184</v>
      </c>
      <c r="T87" s="5">
        <v>79</v>
      </c>
      <c r="U87" s="5"/>
    </row>
    <row r="88" spans="1:21" x14ac:dyDescent="0.35">
      <c r="A88" s="4" t="s">
        <v>183</v>
      </c>
      <c r="B88" s="4" t="s">
        <v>37</v>
      </c>
      <c r="C88" s="4" t="s">
        <v>38</v>
      </c>
      <c r="D88" s="5"/>
      <c r="E88" s="5">
        <v>185</v>
      </c>
      <c r="F88" s="5"/>
      <c r="G88" s="5">
        <v>396</v>
      </c>
      <c r="H88" s="5">
        <v>458</v>
      </c>
      <c r="I88" s="5"/>
      <c r="J88" s="5" t="s">
        <v>39</v>
      </c>
      <c r="K88" s="5"/>
      <c r="L88" s="5">
        <v>766</v>
      </c>
      <c r="M88" s="5">
        <v>359</v>
      </c>
      <c r="N88" s="5">
        <v>383</v>
      </c>
      <c r="O88" s="5"/>
      <c r="P88" s="5"/>
      <c r="Q88" s="5">
        <v>410</v>
      </c>
      <c r="R88" s="5"/>
      <c r="S88" s="5">
        <v>276</v>
      </c>
      <c r="T88" s="5"/>
      <c r="U88" s="5"/>
    </row>
    <row r="89" spans="1:21" x14ac:dyDescent="0.35">
      <c r="A89" s="4" t="s">
        <v>183</v>
      </c>
      <c r="B89" s="4" t="s">
        <v>194</v>
      </c>
      <c r="C89" s="4" t="s">
        <v>195</v>
      </c>
      <c r="D89" s="5"/>
      <c r="E89" s="5">
        <v>236</v>
      </c>
      <c r="F89" s="5"/>
      <c r="G89" s="5"/>
      <c r="H89" s="5">
        <v>369</v>
      </c>
      <c r="I89" s="5"/>
      <c r="J89" s="5">
        <v>363</v>
      </c>
      <c r="K89" s="5"/>
      <c r="L89" s="5">
        <v>562</v>
      </c>
      <c r="M89" s="5"/>
      <c r="N89" s="5" t="s">
        <v>196</v>
      </c>
      <c r="O89" s="5">
        <v>556</v>
      </c>
      <c r="P89" s="5"/>
      <c r="Q89" s="5">
        <v>378</v>
      </c>
      <c r="R89" s="5"/>
      <c r="S89" s="5">
        <v>191</v>
      </c>
      <c r="T89" s="5"/>
      <c r="U89" s="5"/>
    </row>
    <row r="90" spans="1:21" x14ac:dyDescent="0.35">
      <c r="A90" s="4" t="s">
        <v>183</v>
      </c>
      <c r="B90" s="4" t="s">
        <v>197</v>
      </c>
      <c r="C90" s="4" t="s">
        <v>198</v>
      </c>
      <c r="D90" s="5"/>
      <c r="E90" s="5">
        <v>189</v>
      </c>
      <c r="F90" s="5"/>
      <c r="G90" s="5"/>
      <c r="H90" s="5"/>
      <c r="I90" s="5"/>
      <c r="J90" s="5"/>
      <c r="K90" s="5"/>
      <c r="L90" s="5"/>
      <c r="M90" s="5"/>
      <c r="N90" s="5"/>
      <c r="O90" s="5"/>
      <c r="P90" s="5"/>
      <c r="Q90" s="5"/>
      <c r="R90" s="5"/>
      <c r="S90" s="5"/>
      <c r="T90" s="5"/>
      <c r="U90" s="5"/>
    </row>
    <row r="91" spans="1:21" x14ac:dyDescent="0.35">
      <c r="A91" s="4" t="s">
        <v>199</v>
      </c>
      <c r="B91" s="4" t="s">
        <v>200</v>
      </c>
      <c r="C91" s="4" t="s">
        <v>201</v>
      </c>
      <c r="D91" s="5"/>
      <c r="E91" s="5">
        <v>328</v>
      </c>
      <c r="F91" s="5"/>
      <c r="G91" s="5">
        <v>446</v>
      </c>
      <c r="H91" s="5"/>
      <c r="I91" s="5"/>
      <c r="J91" s="5"/>
      <c r="K91" s="5"/>
      <c r="L91" s="5"/>
      <c r="M91" s="5"/>
      <c r="N91" s="5"/>
      <c r="O91" s="5"/>
      <c r="P91" s="5"/>
      <c r="Q91" s="5"/>
      <c r="R91" s="5"/>
      <c r="S91" s="5">
        <v>277</v>
      </c>
      <c r="T91" s="5"/>
      <c r="U91" s="5"/>
    </row>
    <row r="92" spans="1:21" ht="26.15" customHeight="1" x14ac:dyDescent="0.35">
      <c r="A92" s="4" t="s">
        <v>199</v>
      </c>
      <c r="B92" s="4" t="s">
        <v>202</v>
      </c>
      <c r="C92" s="4" t="s">
        <v>267</v>
      </c>
      <c r="D92" s="5">
        <v>4</v>
      </c>
      <c r="E92" s="5"/>
      <c r="F92" s="5"/>
      <c r="G92" s="5"/>
      <c r="H92" s="5"/>
      <c r="I92" s="5"/>
      <c r="J92" s="5"/>
      <c r="K92" s="5"/>
      <c r="L92" s="5"/>
      <c r="M92" s="5"/>
      <c r="N92" s="5"/>
      <c r="O92" s="5"/>
      <c r="P92" s="5"/>
      <c r="Q92" s="5"/>
      <c r="R92" s="5"/>
      <c r="S92" s="5"/>
      <c r="T92" s="5"/>
      <c r="U92" s="5"/>
    </row>
    <row r="93" spans="1:21" x14ac:dyDescent="0.35">
      <c r="A93" s="4" t="s">
        <v>199</v>
      </c>
      <c r="B93" s="4" t="s">
        <v>73</v>
      </c>
      <c r="C93" s="4" t="s">
        <v>74</v>
      </c>
      <c r="D93" s="5"/>
      <c r="E93" s="5">
        <v>136</v>
      </c>
      <c r="F93" s="5"/>
      <c r="G93" s="5">
        <v>260</v>
      </c>
      <c r="H93" s="5">
        <v>231</v>
      </c>
      <c r="I93" s="5">
        <v>753</v>
      </c>
      <c r="J93" s="5">
        <v>155</v>
      </c>
      <c r="K93" s="5"/>
      <c r="L93" s="5">
        <v>768</v>
      </c>
      <c r="M93" s="5">
        <v>39</v>
      </c>
      <c r="N93" s="5">
        <v>33</v>
      </c>
      <c r="O93" s="5">
        <v>596</v>
      </c>
      <c r="P93" s="5"/>
      <c r="Q93" s="5">
        <v>190</v>
      </c>
      <c r="R93" s="5"/>
      <c r="S93" s="5">
        <v>235</v>
      </c>
      <c r="T93" s="5">
        <v>317</v>
      </c>
      <c r="U93" s="5"/>
    </row>
    <row r="94" spans="1:21" x14ac:dyDescent="0.35">
      <c r="A94" s="4" t="s">
        <v>199</v>
      </c>
      <c r="B94" s="4" t="s">
        <v>90</v>
      </c>
      <c r="C94" s="4" t="s">
        <v>91</v>
      </c>
      <c r="D94" s="5">
        <v>6</v>
      </c>
      <c r="E94" s="5">
        <v>337</v>
      </c>
      <c r="F94" s="5"/>
      <c r="G94" s="5"/>
      <c r="H94" s="5"/>
      <c r="I94" s="5">
        <v>745</v>
      </c>
      <c r="J94" s="5"/>
      <c r="K94" s="5"/>
      <c r="L94" s="5" t="s">
        <v>92</v>
      </c>
      <c r="M94" s="5"/>
      <c r="N94" s="5"/>
      <c r="O94" s="5"/>
      <c r="P94" s="5"/>
      <c r="Q94" s="5"/>
      <c r="R94" s="5"/>
      <c r="S94" s="5"/>
      <c r="T94" s="5"/>
      <c r="U94" s="5"/>
    </row>
    <row r="95" spans="1:21" ht="25" customHeight="1" x14ac:dyDescent="0.35">
      <c r="A95" s="4" t="s">
        <v>199</v>
      </c>
      <c r="B95" s="4" t="s">
        <v>204</v>
      </c>
      <c r="C95" s="4" t="s">
        <v>179</v>
      </c>
      <c r="D95" s="5"/>
      <c r="E95" s="5">
        <v>180</v>
      </c>
      <c r="F95" s="5"/>
      <c r="G95" s="5">
        <v>391</v>
      </c>
      <c r="H95" s="5">
        <v>287</v>
      </c>
      <c r="I95" s="5"/>
      <c r="J95" s="5">
        <v>331</v>
      </c>
      <c r="K95" s="5"/>
      <c r="L95" s="5">
        <v>581</v>
      </c>
      <c r="M95" s="5"/>
      <c r="N95" s="5" t="s">
        <v>180</v>
      </c>
      <c r="O95" s="5">
        <v>634</v>
      </c>
      <c r="P95" s="5"/>
      <c r="Q95" s="5">
        <v>285</v>
      </c>
      <c r="R95" s="5"/>
      <c r="S95" s="5">
        <v>275</v>
      </c>
      <c r="T95" s="5"/>
      <c r="U95" s="5"/>
    </row>
    <row r="96" spans="1:21" x14ac:dyDescent="0.35">
      <c r="A96" s="4" t="s">
        <v>205</v>
      </c>
      <c r="B96" s="4" t="s">
        <v>190</v>
      </c>
      <c r="C96" s="4" t="s">
        <v>64</v>
      </c>
      <c r="D96" s="5"/>
      <c r="E96" s="5">
        <v>214</v>
      </c>
      <c r="F96" s="5"/>
      <c r="G96" s="5">
        <v>415</v>
      </c>
      <c r="H96" s="5">
        <v>329</v>
      </c>
      <c r="I96" s="5"/>
      <c r="J96" s="5">
        <v>230</v>
      </c>
      <c r="K96" s="5"/>
      <c r="L96" s="5">
        <v>607</v>
      </c>
      <c r="M96" s="5">
        <v>273</v>
      </c>
      <c r="N96" s="5">
        <v>452</v>
      </c>
      <c r="O96" s="5">
        <v>650</v>
      </c>
      <c r="P96" s="5"/>
      <c r="Q96" s="5">
        <v>305</v>
      </c>
      <c r="R96" s="5"/>
      <c r="S96" s="5">
        <v>190</v>
      </c>
      <c r="T96" s="5">
        <v>295</v>
      </c>
      <c r="U96" s="5"/>
    </row>
    <row r="97" spans="1:21" x14ac:dyDescent="0.35">
      <c r="A97" s="4" t="s">
        <v>205</v>
      </c>
      <c r="B97" s="4" t="s">
        <v>206</v>
      </c>
      <c r="C97" s="4" t="s">
        <v>207</v>
      </c>
      <c r="D97" s="5"/>
      <c r="E97" s="5">
        <v>65</v>
      </c>
      <c r="F97" s="5"/>
      <c r="G97" s="5">
        <v>185</v>
      </c>
      <c r="H97" s="5">
        <v>137</v>
      </c>
      <c r="I97" s="5"/>
      <c r="J97" s="5">
        <v>185</v>
      </c>
      <c r="K97" s="5"/>
      <c r="L97" s="5">
        <v>938</v>
      </c>
      <c r="M97" s="5"/>
      <c r="N97" s="5">
        <v>48</v>
      </c>
      <c r="O97" s="5">
        <v>949</v>
      </c>
      <c r="P97" s="5"/>
      <c r="Q97" s="5">
        <v>269</v>
      </c>
      <c r="R97" s="5"/>
      <c r="S97" s="5">
        <v>252</v>
      </c>
      <c r="T97" s="5">
        <v>349</v>
      </c>
      <c r="U97" s="5"/>
    </row>
    <row r="98" spans="1:21" x14ac:dyDescent="0.35">
      <c r="A98" s="4" t="s">
        <v>205</v>
      </c>
      <c r="B98" s="4" t="s">
        <v>208</v>
      </c>
      <c r="C98" s="4" t="s">
        <v>209</v>
      </c>
      <c r="D98" s="5"/>
      <c r="E98" s="5">
        <v>243</v>
      </c>
      <c r="F98" s="5"/>
      <c r="G98" s="5">
        <v>310</v>
      </c>
      <c r="H98" s="5">
        <v>387</v>
      </c>
      <c r="I98" s="5"/>
      <c r="J98" s="5">
        <v>353</v>
      </c>
      <c r="K98" s="5"/>
      <c r="L98" s="5">
        <v>556</v>
      </c>
      <c r="M98" s="5">
        <v>526</v>
      </c>
      <c r="N98" s="5">
        <v>378</v>
      </c>
      <c r="O98" s="5">
        <v>557</v>
      </c>
      <c r="P98" s="5"/>
      <c r="Q98" s="5">
        <v>377</v>
      </c>
      <c r="R98" s="5"/>
      <c r="S98" s="5">
        <v>245</v>
      </c>
      <c r="T98" s="5">
        <v>299</v>
      </c>
      <c r="U98" s="5"/>
    </row>
    <row r="99" spans="1:21" ht="25" customHeight="1" x14ac:dyDescent="0.35">
      <c r="A99" s="4" t="s">
        <v>205</v>
      </c>
      <c r="B99" s="4" t="s">
        <v>268</v>
      </c>
      <c r="C99" s="4" t="s">
        <v>269</v>
      </c>
      <c r="D99" s="5"/>
      <c r="E99" s="5"/>
      <c r="F99" s="5"/>
      <c r="G99" s="5"/>
      <c r="H99" s="5"/>
      <c r="I99" s="5"/>
      <c r="J99" s="5"/>
      <c r="K99" s="5"/>
      <c r="L99" s="5"/>
      <c r="M99" s="5"/>
      <c r="N99" s="5"/>
      <c r="O99" s="5"/>
      <c r="P99" s="5"/>
      <c r="Q99" s="5"/>
      <c r="R99" s="5"/>
      <c r="S99" s="5"/>
      <c r="T99" s="5"/>
      <c r="U99" s="5"/>
    </row>
    <row r="100" spans="1:21" x14ac:dyDescent="0.35">
      <c r="A100" s="4" t="s">
        <v>210</v>
      </c>
      <c r="B100" s="4" t="s">
        <v>174</v>
      </c>
      <c r="C100" s="4" t="s">
        <v>175</v>
      </c>
      <c r="D100" s="5"/>
      <c r="E100" s="5">
        <v>416</v>
      </c>
      <c r="F100" s="5"/>
      <c r="G100" s="5"/>
      <c r="H100" s="5">
        <v>590</v>
      </c>
      <c r="I100" s="5"/>
      <c r="J100" s="5">
        <v>265</v>
      </c>
      <c r="K100" s="5"/>
      <c r="L100" s="5">
        <v>755</v>
      </c>
      <c r="M100" s="5">
        <v>240</v>
      </c>
      <c r="N100" s="5">
        <v>527</v>
      </c>
      <c r="O100" s="5">
        <v>843</v>
      </c>
      <c r="P100" s="5"/>
      <c r="Q100" s="5">
        <v>534</v>
      </c>
      <c r="R100" s="5"/>
      <c r="S100" s="5">
        <v>257</v>
      </c>
      <c r="T100" s="5">
        <v>350</v>
      </c>
      <c r="U100" s="5"/>
    </row>
    <row r="101" spans="1:21" x14ac:dyDescent="0.35">
      <c r="A101" s="4" t="s">
        <v>210</v>
      </c>
      <c r="B101" s="4" t="s">
        <v>270</v>
      </c>
      <c r="C101" s="4" t="s">
        <v>271</v>
      </c>
      <c r="D101" s="5">
        <v>7</v>
      </c>
      <c r="E101" s="5"/>
      <c r="F101" s="5"/>
      <c r="G101" s="5"/>
      <c r="H101" s="5"/>
      <c r="I101" s="5"/>
      <c r="J101" s="5"/>
      <c r="K101" s="5"/>
      <c r="L101" s="5"/>
      <c r="M101" s="5"/>
      <c r="N101" s="5"/>
      <c r="O101" s="5"/>
      <c r="P101" s="5"/>
      <c r="Q101" s="5"/>
      <c r="R101" s="5"/>
      <c r="S101" s="5"/>
      <c r="T101" s="5"/>
      <c r="U101" s="5"/>
    </row>
    <row r="102" spans="1:21" x14ac:dyDescent="0.35">
      <c r="A102" s="4" t="s">
        <v>210</v>
      </c>
      <c r="B102" s="4" t="s">
        <v>206</v>
      </c>
      <c r="C102" s="4" t="s">
        <v>207</v>
      </c>
      <c r="D102" s="5"/>
      <c r="E102" s="5">
        <v>65</v>
      </c>
      <c r="F102" s="5"/>
      <c r="G102" s="5">
        <v>185</v>
      </c>
      <c r="H102" s="5">
        <v>137</v>
      </c>
      <c r="I102" s="5"/>
      <c r="J102" s="5">
        <v>185</v>
      </c>
      <c r="K102" s="5"/>
      <c r="L102" s="5">
        <v>938</v>
      </c>
      <c r="M102" s="5"/>
      <c r="N102" s="5">
        <v>48</v>
      </c>
      <c r="O102" s="5">
        <v>949</v>
      </c>
      <c r="P102" s="5"/>
      <c r="Q102" s="5">
        <v>269</v>
      </c>
      <c r="R102" s="5"/>
      <c r="S102" s="5">
        <v>252</v>
      </c>
      <c r="T102" s="5">
        <v>349</v>
      </c>
      <c r="U102" s="5"/>
    </row>
    <row r="103" spans="1:21" x14ac:dyDescent="0.35">
      <c r="A103" s="4" t="s">
        <v>210</v>
      </c>
      <c r="B103" s="4" t="s">
        <v>190</v>
      </c>
      <c r="C103" s="4" t="s">
        <v>64</v>
      </c>
      <c r="D103" s="5"/>
      <c r="E103" s="5">
        <v>214</v>
      </c>
      <c r="F103" s="5"/>
      <c r="G103" s="5">
        <v>415</v>
      </c>
      <c r="H103" s="5">
        <v>329</v>
      </c>
      <c r="I103" s="5"/>
      <c r="J103" s="5">
        <v>230</v>
      </c>
      <c r="K103" s="5"/>
      <c r="L103" s="5">
        <v>607</v>
      </c>
      <c r="M103" s="5">
        <v>273</v>
      </c>
      <c r="N103" s="5">
        <v>452</v>
      </c>
      <c r="O103" s="5">
        <v>650</v>
      </c>
      <c r="P103" s="5"/>
      <c r="Q103" s="5">
        <v>305</v>
      </c>
      <c r="R103" s="5"/>
      <c r="S103" s="5">
        <v>190</v>
      </c>
      <c r="T103" s="5">
        <v>295</v>
      </c>
      <c r="U103" s="5"/>
    </row>
    <row r="104" spans="1:21" x14ac:dyDescent="0.35">
      <c r="A104" s="4" t="s">
        <v>210</v>
      </c>
      <c r="B104" s="4" t="s">
        <v>211</v>
      </c>
      <c r="C104" s="4" t="s">
        <v>212</v>
      </c>
      <c r="D104" s="5"/>
      <c r="E104" s="5">
        <v>417</v>
      </c>
      <c r="F104" s="5"/>
      <c r="G104" s="5">
        <v>538</v>
      </c>
      <c r="H104" s="5">
        <v>596</v>
      </c>
      <c r="I104" s="5"/>
      <c r="J104" s="5"/>
      <c r="K104" s="5"/>
      <c r="L104" s="5">
        <v>759</v>
      </c>
      <c r="M104" s="5">
        <v>594</v>
      </c>
      <c r="N104" s="5">
        <v>476</v>
      </c>
      <c r="O104" s="5"/>
      <c r="P104" s="5"/>
      <c r="Q104" s="5"/>
      <c r="R104" s="5"/>
      <c r="S104" s="5"/>
      <c r="T104" s="5"/>
      <c r="U104" s="5"/>
    </row>
    <row r="105" spans="1:21" x14ac:dyDescent="0.35">
      <c r="A105" s="4" t="s">
        <v>210</v>
      </c>
      <c r="B105" s="4" t="s">
        <v>31</v>
      </c>
      <c r="C105" s="4" t="s">
        <v>32</v>
      </c>
      <c r="D105" s="5">
        <v>2</v>
      </c>
      <c r="E105" s="5">
        <v>183</v>
      </c>
      <c r="F105" s="5"/>
      <c r="G105" s="5">
        <v>394</v>
      </c>
      <c r="H105" s="5">
        <v>251</v>
      </c>
      <c r="I105" s="5"/>
      <c r="J105" s="5">
        <v>213</v>
      </c>
      <c r="K105" s="5"/>
      <c r="L105" s="5">
        <v>954</v>
      </c>
      <c r="M105" s="5">
        <v>71</v>
      </c>
      <c r="N105" s="5">
        <v>38</v>
      </c>
      <c r="O105" s="5">
        <v>940</v>
      </c>
      <c r="P105" s="5"/>
      <c r="Q105" s="5">
        <v>270</v>
      </c>
      <c r="R105" s="5"/>
      <c r="S105" s="5">
        <v>237</v>
      </c>
      <c r="T105" s="5">
        <v>374</v>
      </c>
      <c r="U105" s="5"/>
    </row>
    <row r="106" spans="1:21" ht="26.15" customHeight="1" x14ac:dyDescent="0.35">
      <c r="A106" s="4" t="s">
        <v>210</v>
      </c>
      <c r="B106" s="4" t="s">
        <v>213</v>
      </c>
      <c r="C106" s="4" t="s">
        <v>272</v>
      </c>
      <c r="D106" s="5"/>
      <c r="E106" s="5"/>
      <c r="F106" s="5"/>
      <c r="G106" s="5"/>
      <c r="H106" s="5"/>
      <c r="I106" s="5"/>
      <c r="J106" s="5"/>
      <c r="K106" s="5"/>
      <c r="L106" s="5"/>
      <c r="M106" s="5"/>
      <c r="N106" s="5"/>
      <c r="O106" s="5"/>
      <c r="P106" s="5"/>
      <c r="Q106" s="5"/>
      <c r="R106" s="5"/>
      <c r="S106" s="5"/>
      <c r="T106" s="5"/>
      <c r="U106" s="5"/>
    </row>
    <row r="107" spans="1:21" x14ac:dyDescent="0.35">
      <c r="A107" s="4" t="s">
        <v>210</v>
      </c>
      <c r="B107" s="4" t="s">
        <v>214</v>
      </c>
      <c r="C107" s="4" t="s">
        <v>215</v>
      </c>
      <c r="D107" s="5">
        <v>1</v>
      </c>
      <c r="E107" s="5"/>
      <c r="F107" s="5"/>
      <c r="G107" s="5"/>
      <c r="H107" s="5"/>
      <c r="I107" s="5"/>
      <c r="J107" s="5"/>
      <c r="K107" s="5"/>
      <c r="L107" s="5"/>
      <c r="M107" s="5">
        <v>595</v>
      </c>
      <c r="N107" s="5"/>
      <c r="O107" s="5"/>
      <c r="P107" s="5"/>
      <c r="Q107" s="5"/>
      <c r="R107" s="5"/>
      <c r="S107" s="5"/>
      <c r="T107" s="5"/>
      <c r="U107" s="5"/>
    </row>
    <row r="108" spans="1:21" x14ac:dyDescent="0.35">
      <c r="A108" s="4" t="s">
        <v>216</v>
      </c>
      <c r="B108" s="4" t="s">
        <v>73</v>
      </c>
      <c r="C108" s="4" t="s">
        <v>74</v>
      </c>
      <c r="D108" s="5"/>
      <c r="E108" s="5">
        <v>136</v>
      </c>
      <c r="F108" s="5"/>
      <c r="G108" s="5">
        <v>260</v>
      </c>
      <c r="H108" s="5">
        <v>231</v>
      </c>
      <c r="I108" s="5">
        <v>753</v>
      </c>
      <c r="J108" s="5">
        <v>155</v>
      </c>
      <c r="K108" s="5"/>
      <c r="L108" s="5">
        <v>768</v>
      </c>
      <c r="M108" s="5">
        <v>39</v>
      </c>
      <c r="N108" s="5">
        <v>33</v>
      </c>
      <c r="O108" s="5">
        <v>596</v>
      </c>
      <c r="P108" s="5"/>
      <c r="Q108" s="5">
        <v>190</v>
      </c>
      <c r="R108" s="5"/>
      <c r="S108" s="5">
        <v>235</v>
      </c>
      <c r="T108" s="5">
        <v>317</v>
      </c>
      <c r="U108" s="5"/>
    </row>
    <row r="109" spans="1:21" x14ac:dyDescent="0.35">
      <c r="A109" s="4" t="s">
        <v>216</v>
      </c>
      <c r="B109" s="4" t="s">
        <v>46</v>
      </c>
      <c r="C109" s="4" t="s">
        <v>47</v>
      </c>
      <c r="D109" s="5"/>
      <c r="E109" s="5">
        <v>134</v>
      </c>
      <c r="F109" s="5"/>
      <c r="G109" s="5">
        <v>257</v>
      </c>
      <c r="H109" s="5">
        <v>224</v>
      </c>
      <c r="I109" s="5"/>
      <c r="J109" s="5">
        <v>154</v>
      </c>
      <c r="K109" s="5"/>
      <c r="L109" s="5">
        <v>497</v>
      </c>
      <c r="M109" s="5">
        <v>375</v>
      </c>
      <c r="N109" s="5">
        <v>2</v>
      </c>
      <c r="O109" s="5">
        <v>585</v>
      </c>
      <c r="P109" s="5"/>
      <c r="Q109" s="5">
        <v>176</v>
      </c>
      <c r="R109" s="5"/>
      <c r="S109" s="5">
        <v>232</v>
      </c>
      <c r="T109" s="5">
        <v>163</v>
      </c>
      <c r="U109" s="5"/>
    </row>
    <row r="110" spans="1:21" x14ac:dyDescent="0.35">
      <c r="A110" s="4" t="s">
        <v>216</v>
      </c>
      <c r="B110" s="4" t="s">
        <v>31</v>
      </c>
      <c r="C110" s="4" t="s">
        <v>32</v>
      </c>
      <c r="D110" s="5">
        <v>2</v>
      </c>
      <c r="E110" s="5">
        <v>183</v>
      </c>
      <c r="F110" s="5"/>
      <c r="G110" s="5">
        <v>394</v>
      </c>
      <c r="H110" s="5">
        <v>251</v>
      </c>
      <c r="I110" s="5"/>
      <c r="J110" s="5">
        <v>213</v>
      </c>
      <c r="K110" s="5"/>
      <c r="L110" s="5">
        <v>954</v>
      </c>
      <c r="M110" s="5">
        <v>71</v>
      </c>
      <c r="N110" s="5">
        <v>38</v>
      </c>
      <c r="O110" s="5">
        <v>940</v>
      </c>
      <c r="P110" s="5"/>
      <c r="Q110" s="5">
        <v>270</v>
      </c>
      <c r="R110" s="5"/>
      <c r="S110" s="5">
        <v>237</v>
      </c>
      <c r="T110" s="5">
        <v>374</v>
      </c>
      <c r="U110" s="5"/>
    </row>
    <row r="111" spans="1:21" x14ac:dyDescent="0.35">
      <c r="A111" s="4" t="s">
        <v>216</v>
      </c>
      <c r="B111" s="4" t="s">
        <v>90</v>
      </c>
      <c r="C111" s="4" t="s">
        <v>91</v>
      </c>
      <c r="D111" s="5">
        <v>6</v>
      </c>
      <c r="E111" s="5">
        <v>337</v>
      </c>
      <c r="F111" s="5"/>
      <c r="G111" s="5"/>
      <c r="H111" s="5"/>
      <c r="I111" s="5">
        <v>745</v>
      </c>
      <c r="J111" s="5"/>
      <c r="K111" s="5"/>
      <c r="L111" s="5" t="s">
        <v>92</v>
      </c>
      <c r="M111" s="5"/>
      <c r="N111" s="5"/>
      <c r="O111" s="5"/>
      <c r="P111" s="5"/>
      <c r="Q111" s="5"/>
      <c r="R111" s="5"/>
      <c r="S111" s="5"/>
      <c r="T111" s="5"/>
      <c r="U111" s="5"/>
    </row>
    <row r="112" spans="1:21" x14ac:dyDescent="0.35">
      <c r="A112" s="4" t="s">
        <v>216</v>
      </c>
      <c r="B112" s="4" t="s">
        <v>242</v>
      </c>
      <c r="C112" s="4" t="s">
        <v>243</v>
      </c>
      <c r="D112" s="5">
        <v>4</v>
      </c>
      <c r="E112" s="5"/>
      <c r="F112" s="5"/>
      <c r="G112" s="5"/>
      <c r="H112" s="5"/>
      <c r="I112" s="5"/>
      <c r="J112" s="5"/>
      <c r="K112" s="5"/>
      <c r="L112" s="5"/>
      <c r="M112" s="5"/>
      <c r="N112" s="5"/>
      <c r="O112" s="5"/>
      <c r="P112" s="5"/>
      <c r="Q112" s="5"/>
      <c r="R112" s="5"/>
      <c r="S112" s="5"/>
      <c r="T112" s="5"/>
      <c r="U112" s="5"/>
    </row>
    <row r="113" spans="1:21" x14ac:dyDescent="0.35">
      <c r="A113" s="4" t="s">
        <v>216</v>
      </c>
      <c r="B113" s="4" t="s">
        <v>273</v>
      </c>
      <c r="C113" s="4" t="s">
        <v>51</v>
      </c>
      <c r="D113" s="5">
        <v>1</v>
      </c>
      <c r="E113" s="5"/>
      <c r="F113" s="5"/>
      <c r="G113" s="5"/>
      <c r="H113" s="5">
        <v>233</v>
      </c>
      <c r="I113" s="5"/>
      <c r="J113" s="5" t="s">
        <v>52</v>
      </c>
      <c r="K113" s="5"/>
      <c r="L113" s="5" t="s">
        <v>53</v>
      </c>
      <c r="M113" s="5">
        <v>355</v>
      </c>
      <c r="N113" s="5" t="s">
        <v>54</v>
      </c>
      <c r="O113" s="5">
        <v>586</v>
      </c>
      <c r="P113" s="5"/>
      <c r="Q113" s="5" t="s">
        <v>55</v>
      </c>
      <c r="R113" s="5"/>
      <c r="S113" s="5"/>
      <c r="T113" s="5" t="s">
        <v>56</v>
      </c>
      <c r="U113" s="5"/>
    </row>
    <row r="114" spans="1:21" ht="26.15" customHeight="1" x14ac:dyDescent="0.35">
      <c r="A114" s="4" t="s">
        <v>216</v>
      </c>
      <c r="B114" s="4" t="s">
        <v>274</v>
      </c>
      <c r="C114" s="4" t="s">
        <v>275</v>
      </c>
      <c r="D114" s="5">
        <v>3</v>
      </c>
      <c r="E114" s="5"/>
      <c r="F114" s="5"/>
      <c r="G114" s="5"/>
      <c r="H114" s="5"/>
      <c r="I114" s="5"/>
      <c r="J114" s="5"/>
      <c r="K114" s="5"/>
      <c r="L114" s="5"/>
      <c r="M114" s="5"/>
      <c r="N114" s="5"/>
      <c r="O114" s="5"/>
      <c r="P114" s="5"/>
      <c r="Q114" s="5"/>
      <c r="R114" s="5"/>
      <c r="S114" s="5"/>
      <c r="T114" s="5"/>
      <c r="U114" s="5"/>
    </row>
    <row r="115" spans="1:21" x14ac:dyDescent="0.35">
      <c r="A115" s="4" t="s">
        <v>217</v>
      </c>
      <c r="B115" s="4" t="s">
        <v>90</v>
      </c>
      <c r="C115" s="4" t="s">
        <v>91</v>
      </c>
      <c r="D115" s="5">
        <v>6</v>
      </c>
      <c r="E115" s="5">
        <v>337</v>
      </c>
      <c r="F115" s="5"/>
      <c r="G115" s="5"/>
      <c r="H115" s="5"/>
      <c r="I115" s="5">
        <v>745</v>
      </c>
      <c r="J115" s="5"/>
      <c r="K115" s="5"/>
      <c r="L115" s="5" t="s">
        <v>92</v>
      </c>
      <c r="M115" s="5"/>
      <c r="N115" s="5"/>
      <c r="O115" s="5"/>
      <c r="P115" s="5"/>
      <c r="Q115" s="5"/>
      <c r="R115" s="5"/>
      <c r="S115" s="5"/>
      <c r="T115" s="5"/>
      <c r="U115" s="5"/>
    </row>
    <row r="116" spans="1:21" x14ac:dyDescent="0.35">
      <c r="A116" s="4" t="s">
        <v>217</v>
      </c>
      <c r="B116" s="4" t="s">
        <v>218</v>
      </c>
      <c r="C116" s="4" t="s">
        <v>219</v>
      </c>
      <c r="D116" s="5">
        <v>5</v>
      </c>
      <c r="E116" s="5">
        <v>438</v>
      </c>
      <c r="F116" s="5"/>
      <c r="G116" s="5">
        <v>284</v>
      </c>
      <c r="H116" s="5"/>
      <c r="I116" s="5"/>
      <c r="J116" s="5"/>
      <c r="K116" s="5"/>
      <c r="L116" s="5"/>
      <c r="M116" s="5"/>
      <c r="N116" s="5"/>
      <c r="O116" s="5"/>
      <c r="P116" s="5"/>
      <c r="Q116" s="5"/>
      <c r="R116" s="5"/>
      <c r="S116" s="5"/>
      <c r="T116" s="5"/>
      <c r="U116" s="5"/>
    </row>
    <row r="117" spans="1:21" ht="26.15" customHeight="1" x14ac:dyDescent="0.35">
      <c r="A117" s="4" t="s">
        <v>217</v>
      </c>
      <c r="B117" s="4" t="s">
        <v>202</v>
      </c>
      <c r="C117" s="4" t="s">
        <v>267</v>
      </c>
      <c r="D117" s="5">
        <v>4</v>
      </c>
      <c r="E117" s="5"/>
      <c r="F117" s="5"/>
      <c r="G117" s="5"/>
      <c r="H117" s="5"/>
      <c r="I117" s="5"/>
      <c r="J117" s="5"/>
      <c r="K117" s="5"/>
      <c r="L117" s="5"/>
      <c r="M117" s="5"/>
      <c r="N117" s="5"/>
      <c r="O117" s="5"/>
      <c r="P117" s="5"/>
      <c r="Q117" s="5"/>
      <c r="R117" s="5"/>
      <c r="S117" s="5"/>
      <c r="T117" s="5"/>
      <c r="U117" s="5"/>
    </row>
  </sheetData>
  <autoFilter ref="A1:U117"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1"/>
  <sheetViews>
    <sheetView workbookViewId="0">
      <pane xSplit="4" ySplit="1" topLeftCell="E2" activePane="bottomRight" state="frozen"/>
      <selection pane="topRight"/>
      <selection pane="bottomLeft"/>
      <selection pane="bottomRight" activeCell="C21" sqref="C21"/>
    </sheetView>
  </sheetViews>
  <sheetFormatPr defaultRowHeight="14.5" x14ac:dyDescent="0.35"/>
  <cols>
    <col min="1" max="1" width="24" customWidth="1"/>
    <col min="2" max="2" width="58" customWidth="1"/>
    <col min="3" max="3" width="51.81640625" bestFit="1" customWidth="1"/>
    <col min="4" max="4" width="9.453125" bestFit="1" customWidth="1"/>
    <col min="5" max="8" width="8" customWidth="1"/>
    <col min="9" max="9" width="18" customWidth="1"/>
    <col min="10" max="10" width="10" customWidth="1"/>
    <col min="11" max="11" width="8" customWidth="1"/>
    <col min="12" max="12" width="10" customWidth="1"/>
    <col min="13" max="13" width="8" customWidth="1"/>
    <col min="14" max="14" width="11" customWidth="1"/>
    <col min="15" max="15" width="10" customWidth="1"/>
    <col min="16" max="16" width="8" customWidth="1"/>
    <col min="17" max="17" width="10" customWidth="1"/>
    <col min="18" max="18" width="8" customWidth="1"/>
    <col min="19" max="20" width="10" customWidth="1"/>
    <col min="21" max="21" width="8" customWidth="1"/>
    <col min="22" max="22" width="10" customWidth="1"/>
  </cols>
  <sheetData>
    <row r="1" spans="1:22"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5">
      <c r="A2" s="3" t="s">
        <v>22</v>
      </c>
    </row>
    <row r="3" spans="1:22" ht="25" customHeight="1" x14ac:dyDescent="0.35">
      <c r="A3" s="4" t="s">
        <v>23</v>
      </c>
      <c r="B3" s="10" t="s">
        <v>923</v>
      </c>
      <c r="C3" s="10" t="s">
        <v>24</v>
      </c>
      <c r="D3" s="5">
        <v>1</v>
      </c>
      <c r="E3" s="5">
        <v>7</v>
      </c>
      <c r="F3" s="5"/>
      <c r="G3" s="5"/>
      <c r="H3" s="5">
        <v>6</v>
      </c>
      <c r="I3" s="5"/>
      <c r="J3" s="5">
        <v>209</v>
      </c>
      <c r="K3" s="5"/>
      <c r="L3" s="5">
        <v>942</v>
      </c>
      <c r="M3" s="5">
        <v>43</v>
      </c>
      <c r="N3" s="5">
        <v>34</v>
      </c>
      <c r="O3" s="5">
        <v>266</v>
      </c>
      <c r="P3" s="5"/>
      <c r="Q3" s="5">
        <v>934</v>
      </c>
      <c r="R3" s="5"/>
      <c r="S3" s="5"/>
      <c r="T3" s="5">
        <v>168</v>
      </c>
      <c r="U3" s="5"/>
      <c r="V3" s="5"/>
    </row>
    <row r="4" spans="1:22" x14ac:dyDescent="0.35">
      <c r="A4" s="4" t="s">
        <v>25</v>
      </c>
      <c r="B4" s="10" t="s">
        <v>924</v>
      </c>
      <c r="C4" s="4" t="s">
        <v>27</v>
      </c>
      <c r="D4" s="5"/>
      <c r="E4" s="5">
        <v>1</v>
      </c>
      <c r="F4" s="5"/>
      <c r="G4" s="5">
        <v>261</v>
      </c>
      <c r="H4" s="5">
        <v>237</v>
      </c>
      <c r="I4" s="5"/>
      <c r="J4" s="5">
        <v>215</v>
      </c>
      <c r="K4" s="5"/>
      <c r="L4" s="5">
        <v>947</v>
      </c>
      <c r="M4" s="5">
        <v>2</v>
      </c>
      <c r="N4" s="5">
        <v>35</v>
      </c>
      <c r="O4" s="5">
        <v>263</v>
      </c>
      <c r="P4" s="5"/>
      <c r="Q4" s="5">
        <v>935</v>
      </c>
      <c r="R4" s="5"/>
      <c r="S4" s="5"/>
      <c r="T4" s="5">
        <v>166</v>
      </c>
      <c r="U4" s="5"/>
      <c r="V4" s="5"/>
    </row>
    <row r="5" spans="1:22" x14ac:dyDescent="0.35">
      <c r="A5" s="4" t="s">
        <v>25</v>
      </c>
      <c r="B5" s="10" t="s">
        <v>925</v>
      </c>
      <c r="C5" s="4" t="s">
        <v>29</v>
      </c>
      <c r="D5" s="5"/>
      <c r="E5" s="5">
        <v>142</v>
      </c>
      <c r="F5" s="5"/>
      <c r="G5" s="5"/>
      <c r="H5" s="5">
        <v>238</v>
      </c>
      <c r="I5" s="5"/>
      <c r="J5" s="5">
        <v>210</v>
      </c>
      <c r="K5" s="5"/>
      <c r="L5" s="5">
        <v>948</v>
      </c>
      <c r="M5" s="5"/>
      <c r="N5" s="5">
        <v>36</v>
      </c>
      <c r="O5" s="5">
        <v>262</v>
      </c>
      <c r="P5" s="5"/>
      <c r="Q5" s="5">
        <v>936</v>
      </c>
      <c r="R5" s="5"/>
      <c r="S5" s="5"/>
      <c r="T5" s="5"/>
      <c r="U5" s="5"/>
      <c r="V5" s="5"/>
    </row>
    <row r="6" spans="1:22" x14ac:dyDescent="0.35">
      <c r="A6" s="4" t="s">
        <v>30</v>
      </c>
      <c r="B6" s="4" t="s">
        <v>926</v>
      </c>
      <c r="C6" s="4" t="s">
        <v>32</v>
      </c>
      <c r="D6" s="5"/>
      <c r="E6" s="5">
        <v>183</v>
      </c>
      <c r="F6" s="5"/>
      <c r="G6" s="5">
        <v>394</v>
      </c>
      <c r="H6" s="5">
        <v>251</v>
      </c>
      <c r="I6" s="5"/>
      <c r="J6" s="5">
        <v>213</v>
      </c>
      <c r="K6" s="5"/>
      <c r="L6" s="5">
        <v>954</v>
      </c>
      <c r="M6" s="5">
        <v>71</v>
      </c>
      <c r="N6" s="5">
        <v>38</v>
      </c>
      <c r="O6" s="5">
        <v>270</v>
      </c>
      <c r="P6" s="5"/>
      <c r="Q6" s="5">
        <v>940</v>
      </c>
      <c r="R6" s="5"/>
      <c r="S6" s="5">
        <v>237</v>
      </c>
      <c r="T6" s="5">
        <v>374</v>
      </c>
      <c r="U6" s="5"/>
      <c r="V6" s="5"/>
    </row>
    <row r="7" spans="1:22" x14ac:dyDescent="0.35">
      <c r="A7" s="4" t="s">
        <v>33</v>
      </c>
      <c r="B7" s="10" t="s">
        <v>927</v>
      </c>
      <c r="C7" s="4" t="s">
        <v>35</v>
      </c>
      <c r="D7" s="5"/>
      <c r="E7" s="5">
        <v>147</v>
      </c>
      <c r="F7" s="5"/>
      <c r="G7" s="5"/>
      <c r="H7" s="5">
        <v>249</v>
      </c>
      <c r="I7" s="5"/>
      <c r="J7" s="5">
        <v>214</v>
      </c>
      <c r="K7" s="5"/>
      <c r="L7" s="5">
        <v>960</v>
      </c>
      <c r="M7" s="5"/>
      <c r="N7" s="5">
        <v>40</v>
      </c>
      <c r="O7" s="5">
        <v>267</v>
      </c>
      <c r="P7" s="5"/>
      <c r="Q7" s="5">
        <v>943</v>
      </c>
      <c r="R7" s="5"/>
      <c r="S7" s="5">
        <v>240</v>
      </c>
      <c r="T7" s="5">
        <v>528</v>
      </c>
      <c r="U7" s="5"/>
      <c r="V7" s="5"/>
    </row>
    <row r="8" spans="1:22" x14ac:dyDescent="0.35">
      <c r="A8" s="4" t="s">
        <v>36</v>
      </c>
      <c r="B8" s="4" t="s">
        <v>928</v>
      </c>
      <c r="C8" s="4" t="s">
        <v>38</v>
      </c>
      <c r="D8" s="5"/>
      <c r="E8" s="5">
        <v>185</v>
      </c>
      <c r="F8" s="5"/>
      <c r="G8" s="5">
        <v>396</v>
      </c>
      <c r="H8" s="5">
        <v>458</v>
      </c>
      <c r="I8" s="5"/>
      <c r="J8" s="5" t="s">
        <v>39</v>
      </c>
      <c r="K8" s="5"/>
      <c r="L8" s="5">
        <v>766</v>
      </c>
      <c r="M8" s="5">
        <v>359</v>
      </c>
      <c r="N8" s="5">
        <v>383</v>
      </c>
      <c r="O8" s="5">
        <v>410</v>
      </c>
      <c r="P8" s="5"/>
      <c r="Q8" s="5"/>
      <c r="R8" s="5"/>
      <c r="S8" s="5">
        <v>276</v>
      </c>
      <c r="T8" s="5"/>
      <c r="U8" s="5"/>
      <c r="V8" s="5"/>
    </row>
    <row r="9" spans="1:22" x14ac:dyDescent="0.35">
      <c r="A9" s="4" t="s">
        <v>40</v>
      </c>
      <c r="B9" s="4" t="s">
        <v>929</v>
      </c>
      <c r="C9" s="4" t="s">
        <v>42</v>
      </c>
      <c r="D9" s="5"/>
      <c r="E9" s="5" t="s">
        <v>43</v>
      </c>
      <c r="F9" s="5"/>
      <c r="G9" s="5">
        <v>203</v>
      </c>
      <c r="H9" s="5">
        <v>146</v>
      </c>
      <c r="I9" s="5"/>
      <c r="J9" s="5">
        <v>208</v>
      </c>
      <c r="K9" s="5"/>
      <c r="L9" s="5">
        <v>434</v>
      </c>
      <c r="M9" s="5">
        <v>147</v>
      </c>
      <c r="N9" s="5">
        <v>41</v>
      </c>
      <c r="O9" s="5">
        <v>268</v>
      </c>
      <c r="P9" s="5"/>
      <c r="Q9" s="5">
        <v>947</v>
      </c>
      <c r="R9" s="5"/>
      <c r="S9" s="5"/>
      <c r="T9" s="5">
        <v>111</v>
      </c>
      <c r="U9" s="5"/>
      <c r="V9" s="5"/>
    </row>
    <row r="10" spans="1:22" x14ac:dyDescent="0.35">
      <c r="A10" s="3" t="s">
        <v>44</v>
      </c>
    </row>
    <row r="11" spans="1:22" x14ac:dyDescent="0.35">
      <c r="A11" s="4" t="s">
        <v>45</v>
      </c>
      <c r="B11" s="10" t="s">
        <v>930</v>
      </c>
      <c r="C11" s="4" t="s">
        <v>47</v>
      </c>
      <c r="D11" s="5"/>
      <c r="E11" s="5">
        <v>134</v>
      </c>
      <c r="F11" s="5"/>
      <c r="G11" s="5">
        <v>257</v>
      </c>
      <c r="H11" s="5">
        <v>224</v>
      </c>
      <c r="I11" s="5"/>
      <c r="J11" s="5">
        <v>154</v>
      </c>
      <c r="K11" s="5"/>
      <c r="L11" s="5">
        <v>497</v>
      </c>
      <c r="M11" s="5">
        <v>375</v>
      </c>
      <c r="N11" s="5">
        <v>2</v>
      </c>
      <c r="O11" s="5">
        <v>176</v>
      </c>
      <c r="P11" s="5"/>
      <c r="Q11" s="5">
        <v>585</v>
      </c>
      <c r="R11" s="5"/>
      <c r="S11" s="5">
        <v>232</v>
      </c>
      <c r="T11" s="5">
        <v>163</v>
      </c>
      <c r="U11" s="5"/>
      <c r="V11" s="5"/>
    </row>
    <row r="12" spans="1:22" x14ac:dyDescent="0.35">
      <c r="A12" s="4" t="s">
        <v>45</v>
      </c>
      <c r="B12" s="4" t="s">
        <v>48</v>
      </c>
      <c r="C12" s="4" t="s">
        <v>49</v>
      </c>
      <c r="D12" s="5"/>
      <c r="E12" s="5"/>
      <c r="F12" s="5"/>
      <c r="G12" s="5"/>
      <c r="H12" s="5">
        <v>227</v>
      </c>
      <c r="I12" s="5"/>
      <c r="J12" s="5"/>
      <c r="K12" s="5"/>
      <c r="L12" s="5"/>
      <c r="M12" s="5">
        <v>382</v>
      </c>
      <c r="N12" s="5">
        <v>11</v>
      </c>
      <c r="O12" s="5"/>
      <c r="P12" s="5"/>
      <c r="Q12" s="5"/>
      <c r="R12" s="5"/>
      <c r="S12" s="5"/>
      <c r="T12" s="5"/>
      <c r="U12" s="5"/>
      <c r="V12" s="5"/>
    </row>
    <row r="13" spans="1:22" x14ac:dyDescent="0.35">
      <c r="A13" s="4" t="s">
        <v>45</v>
      </c>
      <c r="B13" s="11" t="s">
        <v>50</v>
      </c>
      <c r="C13" s="4" t="s">
        <v>51</v>
      </c>
      <c r="D13" s="5"/>
      <c r="E13" s="5"/>
      <c r="F13" s="5"/>
      <c r="G13" s="5"/>
      <c r="H13" s="5">
        <v>233</v>
      </c>
      <c r="I13" s="5"/>
      <c r="J13" s="5" t="s">
        <v>52</v>
      </c>
      <c r="K13" s="5"/>
      <c r="L13" s="5" t="s">
        <v>53</v>
      </c>
      <c r="M13" s="5">
        <v>355</v>
      </c>
      <c r="N13" s="5" t="s">
        <v>54</v>
      </c>
      <c r="O13" s="5" t="s">
        <v>55</v>
      </c>
      <c r="P13" s="5"/>
      <c r="Q13" s="5">
        <v>586</v>
      </c>
      <c r="R13" s="5"/>
      <c r="S13" s="5"/>
      <c r="T13" s="5" t="s">
        <v>56</v>
      </c>
      <c r="U13" s="5"/>
      <c r="V13" s="5">
        <v>48</v>
      </c>
    </row>
    <row r="14" spans="1:22" x14ac:dyDescent="0.35">
      <c r="A14" s="4" t="s">
        <v>57</v>
      </c>
      <c r="B14" s="4" t="s">
        <v>931</v>
      </c>
      <c r="C14" s="4" t="s">
        <v>62</v>
      </c>
      <c r="D14" s="5">
        <v>2</v>
      </c>
      <c r="E14" s="5"/>
      <c r="F14" s="5"/>
      <c r="G14" s="5"/>
      <c r="H14" s="5"/>
      <c r="I14" s="5"/>
      <c r="J14" s="5"/>
      <c r="K14" s="5"/>
      <c r="L14" s="5"/>
      <c r="M14" s="5"/>
      <c r="N14" s="5"/>
      <c r="O14" s="5"/>
      <c r="P14" s="5"/>
      <c r="Q14" s="5"/>
      <c r="R14" s="5"/>
      <c r="S14" s="5"/>
      <c r="T14" s="5"/>
      <c r="U14" s="5"/>
      <c r="V14" s="5"/>
    </row>
    <row r="15" spans="1:22" x14ac:dyDescent="0.35">
      <c r="A15" s="4" t="s">
        <v>57</v>
      </c>
      <c r="B15" s="10" t="s">
        <v>932</v>
      </c>
      <c r="C15" s="4" t="s">
        <v>64</v>
      </c>
      <c r="D15" s="5"/>
      <c r="E15" s="5">
        <v>214</v>
      </c>
      <c r="F15" s="5"/>
      <c r="G15" s="5">
        <v>415</v>
      </c>
      <c r="H15" s="5">
        <v>329</v>
      </c>
      <c r="I15" s="5"/>
      <c r="J15" s="5">
        <v>230</v>
      </c>
      <c r="K15" s="5"/>
      <c r="L15" s="5">
        <v>607</v>
      </c>
      <c r="M15" s="5">
        <v>273</v>
      </c>
      <c r="N15" s="5">
        <v>452</v>
      </c>
      <c r="O15" s="5">
        <v>305</v>
      </c>
      <c r="P15" s="5"/>
      <c r="Q15" s="5">
        <v>650</v>
      </c>
      <c r="R15" s="5"/>
      <c r="S15" s="5">
        <v>190</v>
      </c>
      <c r="T15" s="5">
        <v>295</v>
      </c>
      <c r="U15" s="5"/>
      <c r="V15" s="5"/>
    </row>
    <row r="16" spans="1:22" x14ac:dyDescent="0.35">
      <c r="A16" s="4" t="s">
        <v>57</v>
      </c>
      <c r="B16" s="10" t="s">
        <v>933</v>
      </c>
      <c r="C16" s="4" t="s">
        <v>66</v>
      </c>
      <c r="D16" s="5"/>
      <c r="E16" s="5">
        <v>166</v>
      </c>
      <c r="F16" s="5"/>
      <c r="G16" s="5">
        <v>278</v>
      </c>
      <c r="H16" s="5">
        <v>260</v>
      </c>
      <c r="I16" s="5"/>
      <c r="J16" s="5"/>
      <c r="K16" s="5"/>
      <c r="L16" s="5"/>
      <c r="M16" s="5">
        <v>424</v>
      </c>
      <c r="N16" s="5">
        <v>440</v>
      </c>
      <c r="O16" s="5">
        <v>205</v>
      </c>
      <c r="P16" s="5"/>
      <c r="Q16" s="5"/>
      <c r="R16" s="5"/>
      <c r="S16" s="5">
        <v>244</v>
      </c>
      <c r="T16" s="5"/>
      <c r="U16" s="5"/>
      <c r="V16" s="5"/>
    </row>
    <row r="17" spans="1:22" x14ac:dyDescent="0.35">
      <c r="A17" s="4" t="s">
        <v>57</v>
      </c>
      <c r="B17" s="10" t="s">
        <v>934</v>
      </c>
      <c r="C17" s="4" t="s">
        <v>68</v>
      </c>
      <c r="D17" s="5">
        <v>3</v>
      </c>
      <c r="E17" s="5">
        <v>162</v>
      </c>
      <c r="F17" s="5"/>
      <c r="G17" s="5">
        <v>282</v>
      </c>
      <c r="H17" s="5">
        <v>267</v>
      </c>
      <c r="I17" s="5"/>
      <c r="J17" s="5"/>
      <c r="K17" s="5"/>
      <c r="L17" s="5"/>
      <c r="M17" s="5">
        <v>527</v>
      </c>
      <c r="N17" s="5">
        <v>396</v>
      </c>
      <c r="O17" s="5">
        <v>202</v>
      </c>
      <c r="P17" s="5"/>
      <c r="Q17" s="5">
        <v>866</v>
      </c>
      <c r="R17" s="5"/>
      <c r="S17" s="5">
        <v>246</v>
      </c>
      <c r="T17" s="5"/>
      <c r="U17" s="5"/>
      <c r="V17" s="5"/>
    </row>
    <row r="18" spans="1:22" x14ac:dyDescent="0.35">
      <c r="A18" s="25" t="s">
        <v>69</v>
      </c>
      <c r="B18" s="4" t="s">
        <v>70</v>
      </c>
      <c r="C18" s="4" t="s">
        <v>71</v>
      </c>
      <c r="D18" s="5"/>
      <c r="E18" s="5"/>
      <c r="F18" s="5"/>
      <c r="G18" s="5"/>
      <c r="H18" s="5"/>
      <c r="I18" s="5"/>
      <c r="J18" s="5"/>
      <c r="K18" s="5"/>
      <c r="L18" s="5"/>
      <c r="M18" s="5"/>
      <c r="N18" s="5"/>
      <c r="O18" s="5"/>
      <c r="P18" s="5"/>
      <c r="Q18" s="5"/>
      <c r="R18" s="5"/>
      <c r="S18" s="5"/>
      <c r="T18" s="5"/>
      <c r="U18" s="5"/>
      <c r="V18" s="5"/>
    </row>
    <row r="19" spans="1:22" x14ac:dyDescent="0.35">
      <c r="A19" s="4" t="s">
        <v>72</v>
      </c>
      <c r="B19" s="10" t="s">
        <v>935</v>
      </c>
      <c r="C19" s="4" t="s">
        <v>74</v>
      </c>
      <c r="D19" s="5"/>
      <c r="E19" s="5">
        <v>136</v>
      </c>
      <c r="F19" s="5"/>
      <c r="G19" s="5">
        <v>260</v>
      </c>
      <c r="H19" s="5">
        <v>231</v>
      </c>
      <c r="I19" s="5">
        <v>753</v>
      </c>
      <c r="J19" s="5">
        <v>155</v>
      </c>
      <c r="K19" s="5"/>
      <c r="L19" s="5">
        <v>768</v>
      </c>
      <c r="M19" s="5">
        <v>39</v>
      </c>
      <c r="N19" s="5">
        <v>33</v>
      </c>
      <c r="O19" s="5">
        <v>190</v>
      </c>
      <c r="P19" s="5"/>
      <c r="Q19" s="5">
        <v>596</v>
      </c>
      <c r="R19" s="5"/>
      <c r="S19" s="5">
        <v>235</v>
      </c>
      <c r="T19" s="5">
        <v>317</v>
      </c>
      <c r="U19" s="5"/>
      <c r="V19" s="5"/>
    </row>
    <row r="20" spans="1:22" x14ac:dyDescent="0.35">
      <c r="A20" s="4" t="s">
        <v>75</v>
      </c>
      <c r="B20" s="10" t="s">
        <v>936</v>
      </c>
      <c r="C20" s="4" t="s">
        <v>77</v>
      </c>
      <c r="D20" s="5"/>
      <c r="E20" s="5">
        <v>159</v>
      </c>
      <c r="F20" s="5"/>
      <c r="G20" s="5">
        <v>274</v>
      </c>
      <c r="H20" s="5">
        <v>261</v>
      </c>
      <c r="I20" s="5"/>
      <c r="J20" s="5">
        <v>334</v>
      </c>
      <c r="K20" s="5"/>
      <c r="L20" s="5">
        <v>655</v>
      </c>
      <c r="M20" s="5">
        <v>138</v>
      </c>
      <c r="N20" s="5">
        <v>589</v>
      </c>
      <c r="O20" s="5">
        <v>203</v>
      </c>
      <c r="P20" s="5"/>
      <c r="Q20" s="5">
        <v>862</v>
      </c>
      <c r="R20" s="5"/>
      <c r="S20" s="5">
        <v>243</v>
      </c>
      <c r="T20" s="5">
        <v>230</v>
      </c>
      <c r="U20" s="5"/>
      <c r="V20" s="5">
        <v>95</v>
      </c>
    </row>
    <row r="21" spans="1:22" x14ac:dyDescent="0.35">
      <c r="A21" s="4" t="s">
        <v>75</v>
      </c>
      <c r="B21" s="10" t="s">
        <v>937</v>
      </c>
      <c r="C21" s="4" t="s">
        <v>59</v>
      </c>
      <c r="D21" s="5"/>
      <c r="E21" s="5">
        <v>171</v>
      </c>
      <c r="F21" s="5"/>
      <c r="G21" s="5">
        <v>480</v>
      </c>
      <c r="H21" s="5">
        <v>500</v>
      </c>
      <c r="I21" s="5"/>
      <c r="J21" s="5">
        <v>288</v>
      </c>
      <c r="K21" s="5"/>
      <c r="L21" s="5" t="s">
        <v>60</v>
      </c>
      <c r="M21" s="5">
        <v>29</v>
      </c>
      <c r="N21" s="5">
        <v>591</v>
      </c>
      <c r="O21" s="5">
        <v>574</v>
      </c>
      <c r="P21" s="5"/>
      <c r="Q21" s="5">
        <v>906</v>
      </c>
      <c r="R21" s="5"/>
      <c r="S21" s="5">
        <v>189</v>
      </c>
      <c r="T21" s="5">
        <v>335</v>
      </c>
      <c r="U21" s="5"/>
      <c r="V21" s="5"/>
    </row>
    <row r="22" spans="1:22" x14ac:dyDescent="0.35">
      <c r="A22" s="4" t="s">
        <v>75</v>
      </c>
      <c r="B22" s="10" t="s">
        <v>938</v>
      </c>
      <c r="C22" s="4" t="s">
        <v>80</v>
      </c>
      <c r="D22" s="5"/>
      <c r="E22" s="5">
        <v>145</v>
      </c>
      <c r="F22" s="5"/>
      <c r="G22" s="5">
        <v>271</v>
      </c>
      <c r="H22" s="5">
        <v>247</v>
      </c>
      <c r="I22" s="5"/>
      <c r="J22" s="5">
        <v>170</v>
      </c>
      <c r="K22" s="5"/>
      <c r="L22" s="5">
        <v>505</v>
      </c>
      <c r="M22" s="5"/>
      <c r="N22" s="5">
        <v>18</v>
      </c>
      <c r="O22" s="5">
        <v>192</v>
      </c>
      <c r="P22" s="5"/>
      <c r="Q22" s="5">
        <v>482</v>
      </c>
      <c r="R22" s="5"/>
      <c r="S22" s="5">
        <v>238</v>
      </c>
      <c r="T22" s="5">
        <v>308</v>
      </c>
      <c r="U22" s="5"/>
      <c r="V22" s="5"/>
    </row>
    <row r="23" spans="1:22" x14ac:dyDescent="0.35">
      <c r="A23" s="4" t="s">
        <v>81</v>
      </c>
      <c r="B23" s="4" t="s">
        <v>939</v>
      </c>
      <c r="C23" s="4" t="s">
        <v>83</v>
      </c>
      <c r="D23" s="5"/>
      <c r="E23" s="5">
        <v>205</v>
      </c>
      <c r="F23" s="5"/>
      <c r="G23" s="5">
        <v>441</v>
      </c>
      <c r="H23" s="5">
        <v>311</v>
      </c>
      <c r="I23" s="5"/>
      <c r="J23" s="5" t="s">
        <v>84</v>
      </c>
      <c r="K23" s="5"/>
      <c r="L23" s="5">
        <v>627</v>
      </c>
      <c r="M23" s="5"/>
      <c r="N23" s="5" t="s">
        <v>85</v>
      </c>
      <c r="O23" s="5">
        <v>313</v>
      </c>
      <c r="P23" s="5"/>
      <c r="Q23" s="5">
        <v>659</v>
      </c>
      <c r="R23" s="5"/>
      <c r="S23" s="5">
        <v>205</v>
      </c>
      <c r="T23" s="5"/>
      <c r="U23" s="5"/>
      <c r="V23" s="5"/>
    </row>
    <row r="24" spans="1:22" x14ac:dyDescent="0.35">
      <c r="A24" s="4" t="s">
        <v>81</v>
      </c>
      <c r="B24" s="10" t="s">
        <v>829</v>
      </c>
      <c r="C24" s="4" t="s">
        <v>87</v>
      </c>
      <c r="D24" s="5"/>
      <c r="E24" s="5">
        <v>195</v>
      </c>
      <c r="F24" s="5"/>
      <c r="G24" s="5">
        <v>431</v>
      </c>
      <c r="H24" s="5">
        <v>313</v>
      </c>
      <c r="I24" s="5"/>
      <c r="J24" s="5">
        <v>238</v>
      </c>
      <c r="K24" s="5"/>
      <c r="L24" s="5">
        <v>617</v>
      </c>
      <c r="M24" s="5">
        <v>156</v>
      </c>
      <c r="N24" s="5">
        <v>327</v>
      </c>
      <c r="O24" s="5">
        <v>317</v>
      </c>
      <c r="P24" s="5"/>
      <c r="Q24" s="5">
        <v>673</v>
      </c>
      <c r="R24" s="5"/>
      <c r="S24" s="5">
        <v>207</v>
      </c>
      <c r="T24" s="5">
        <v>215</v>
      </c>
      <c r="U24" s="5"/>
      <c r="V24" s="5"/>
    </row>
    <row r="25" spans="1:22" x14ac:dyDescent="0.35">
      <c r="A25" s="4" t="s">
        <v>81</v>
      </c>
      <c r="B25" s="10" t="s">
        <v>88</v>
      </c>
      <c r="C25" s="4" t="s">
        <v>89</v>
      </c>
      <c r="D25" s="5"/>
      <c r="E25" s="5"/>
      <c r="F25" s="5"/>
      <c r="G25" s="5"/>
      <c r="H25" s="5"/>
      <c r="I25" s="5"/>
      <c r="J25" s="5"/>
      <c r="K25" s="5"/>
      <c r="L25" s="5"/>
      <c r="M25" s="5"/>
      <c r="N25" s="5"/>
      <c r="O25" s="5"/>
      <c r="P25" s="5"/>
      <c r="Q25" s="5"/>
      <c r="R25" s="5"/>
      <c r="S25" s="5"/>
      <c r="T25" s="5"/>
      <c r="U25" s="5"/>
      <c r="V25" s="5"/>
    </row>
    <row r="26" spans="1:22" x14ac:dyDescent="0.35">
      <c r="A26" s="4" t="s">
        <v>81</v>
      </c>
      <c r="B26" s="4" t="s">
        <v>91</v>
      </c>
      <c r="C26" s="4" t="s">
        <v>91</v>
      </c>
      <c r="D26" s="5">
        <v>4</v>
      </c>
      <c r="E26" s="5">
        <v>337</v>
      </c>
      <c r="F26" s="5"/>
      <c r="G26" s="5"/>
      <c r="H26" s="5"/>
      <c r="I26" s="5">
        <v>745</v>
      </c>
      <c r="J26" s="5"/>
      <c r="K26" s="5"/>
      <c r="L26" s="5" t="s">
        <v>92</v>
      </c>
      <c r="M26" s="5"/>
      <c r="N26" s="5"/>
      <c r="O26" s="5"/>
      <c r="P26" s="5"/>
      <c r="Q26" s="5"/>
      <c r="R26" s="5"/>
      <c r="S26" s="5"/>
      <c r="T26" s="5"/>
      <c r="U26" s="5"/>
      <c r="V26" s="5">
        <v>23</v>
      </c>
    </row>
    <row r="27" spans="1:22" x14ac:dyDescent="0.35">
      <c r="A27" s="4" t="s">
        <v>93</v>
      </c>
      <c r="B27" s="10" t="s">
        <v>940</v>
      </c>
      <c r="C27" s="4" t="s">
        <v>94</v>
      </c>
      <c r="D27" s="5"/>
      <c r="E27" s="5">
        <v>177</v>
      </c>
      <c r="F27" s="5"/>
      <c r="G27" s="5"/>
      <c r="H27" s="5"/>
      <c r="I27" s="5">
        <v>785</v>
      </c>
      <c r="J27" s="5">
        <v>219</v>
      </c>
      <c r="K27" s="5"/>
      <c r="L27" s="5" t="s">
        <v>95</v>
      </c>
      <c r="M27" s="5"/>
      <c r="N27" s="5">
        <v>584</v>
      </c>
      <c r="O27" s="5">
        <v>522</v>
      </c>
      <c r="P27" s="5"/>
      <c r="Q27" s="5"/>
      <c r="R27" s="5"/>
      <c r="S27" s="5">
        <v>248</v>
      </c>
      <c r="T27" s="5">
        <v>471</v>
      </c>
      <c r="U27" s="5"/>
      <c r="V27" s="5">
        <v>95</v>
      </c>
    </row>
    <row r="28" spans="1:22" x14ac:dyDescent="0.35">
      <c r="A28" s="4" t="s">
        <v>93</v>
      </c>
      <c r="B28" s="10" t="s">
        <v>941</v>
      </c>
      <c r="C28" s="4" t="s">
        <v>96</v>
      </c>
      <c r="D28" s="5"/>
      <c r="E28" s="5">
        <v>237</v>
      </c>
      <c r="F28" s="5"/>
      <c r="G28" s="5">
        <v>314</v>
      </c>
      <c r="H28" s="5">
        <v>377</v>
      </c>
      <c r="I28" s="5"/>
      <c r="J28" s="5">
        <v>355</v>
      </c>
      <c r="K28" s="5"/>
      <c r="L28" s="5">
        <v>555</v>
      </c>
      <c r="M28" s="5">
        <v>205</v>
      </c>
      <c r="N28" s="5">
        <v>227</v>
      </c>
      <c r="O28" s="5">
        <v>390</v>
      </c>
      <c r="P28" s="5"/>
      <c r="Q28" s="5">
        <v>558</v>
      </c>
      <c r="R28" s="5"/>
      <c r="S28" s="5">
        <v>249</v>
      </c>
      <c r="T28" s="5">
        <v>297</v>
      </c>
      <c r="U28" s="5"/>
      <c r="V28" s="5"/>
    </row>
    <row r="29" spans="1:22" ht="25" customHeight="1" x14ac:dyDescent="0.35">
      <c r="A29" s="4" t="s">
        <v>93</v>
      </c>
      <c r="B29" s="10" t="s">
        <v>116</v>
      </c>
      <c r="C29" s="4" t="s">
        <v>97</v>
      </c>
      <c r="D29" s="5"/>
      <c r="E29" s="5"/>
      <c r="F29" s="5"/>
      <c r="G29" s="5"/>
      <c r="H29" s="5"/>
      <c r="I29" s="5"/>
      <c r="J29" s="5"/>
      <c r="K29" s="5"/>
      <c r="L29" s="5"/>
      <c r="M29" s="5"/>
      <c r="N29" s="5"/>
      <c r="O29" s="5"/>
      <c r="P29" s="5"/>
      <c r="Q29" s="5"/>
      <c r="R29" s="5"/>
      <c r="S29" s="5"/>
      <c r="T29" s="5"/>
      <c r="U29" s="5"/>
      <c r="V29" s="5"/>
    </row>
    <row r="30" spans="1:22" x14ac:dyDescent="0.35">
      <c r="A30" s="4" t="s">
        <v>93</v>
      </c>
      <c r="B30" s="4" t="s">
        <v>942</v>
      </c>
      <c r="C30" s="4" t="s">
        <v>99</v>
      </c>
      <c r="D30" s="5">
        <v>4</v>
      </c>
      <c r="E30" s="5"/>
      <c r="F30" s="5"/>
      <c r="G30" s="5"/>
      <c r="H30" s="5" t="s">
        <v>100</v>
      </c>
      <c r="I30" s="5"/>
      <c r="J30" s="5"/>
      <c r="K30" s="5"/>
      <c r="L30" s="5"/>
      <c r="M30" s="5"/>
      <c r="N30" s="5" t="s">
        <v>101</v>
      </c>
      <c r="O30" s="5" t="s">
        <v>102</v>
      </c>
      <c r="P30" s="5" t="s">
        <v>103</v>
      </c>
      <c r="Q30" s="5">
        <v>951</v>
      </c>
      <c r="R30" s="5"/>
      <c r="S30" s="5"/>
      <c r="T30" s="5"/>
      <c r="U30" s="5"/>
      <c r="V30" s="5"/>
    </row>
    <row r="31" spans="1:22" x14ac:dyDescent="0.35">
      <c r="A31" s="4" t="s">
        <v>104</v>
      </c>
      <c r="B31" s="4" t="s">
        <v>943</v>
      </c>
      <c r="C31" s="4" t="s">
        <v>106</v>
      </c>
      <c r="D31" s="5">
        <v>4</v>
      </c>
      <c r="E31" s="5"/>
      <c r="F31" s="5"/>
      <c r="G31" s="5"/>
      <c r="H31" s="5"/>
      <c r="I31" s="5"/>
      <c r="J31" s="5">
        <v>9</v>
      </c>
      <c r="K31" s="5">
        <v>914</v>
      </c>
      <c r="L31" s="5" t="s">
        <v>649</v>
      </c>
      <c r="M31" s="5"/>
      <c r="N31" s="5"/>
      <c r="O31" s="5"/>
      <c r="P31" s="5"/>
      <c r="Q31" s="5">
        <v>958</v>
      </c>
      <c r="R31" s="5"/>
      <c r="S31" s="5"/>
      <c r="T31" s="5"/>
      <c r="U31" s="5"/>
      <c r="V31" s="5"/>
    </row>
    <row r="32" spans="1:22" ht="25" customHeight="1" x14ac:dyDescent="0.35">
      <c r="A32" s="4" t="s">
        <v>104</v>
      </c>
      <c r="B32" s="10" t="s">
        <v>107</v>
      </c>
      <c r="C32" s="4" t="s">
        <v>108</v>
      </c>
      <c r="D32" s="5">
        <v>5</v>
      </c>
      <c r="E32" s="5"/>
      <c r="F32" s="5"/>
      <c r="G32" s="5">
        <v>578</v>
      </c>
      <c r="H32" s="5">
        <v>644</v>
      </c>
      <c r="I32" s="5"/>
      <c r="J32" s="5">
        <v>461</v>
      </c>
      <c r="K32" s="5"/>
      <c r="L32" s="5">
        <v>805</v>
      </c>
      <c r="M32" s="5"/>
      <c r="N32" s="5">
        <v>592</v>
      </c>
      <c r="O32" s="5">
        <v>334</v>
      </c>
      <c r="P32" s="5"/>
      <c r="Q32" s="5">
        <v>617</v>
      </c>
      <c r="R32" s="5"/>
      <c r="S32" s="5"/>
      <c r="T32" s="5" t="s">
        <v>109</v>
      </c>
      <c r="U32" s="5"/>
      <c r="V32" s="5"/>
    </row>
    <row r="33" spans="1:22" x14ac:dyDescent="0.35">
      <c r="A33" s="3" t="s">
        <v>110</v>
      </c>
    </row>
    <row r="34" spans="1:22" x14ac:dyDescent="0.35">
      <c r="A34" s="4" t="s">
        <v>111</v>
      </c>
      <c r="B34" s="4" t="s">
        <v>944</v>
      </c>
      <c r="C34" s="4" t="s">
        <v>113</v>
      </c>
      <c r="D34" s="5"/>
      <c r="E34" s="5">
        <v>36</v>
      </c>
      <c r="F34" s="5"/>
      <c r="G34" s="5">
        <v>141</v>
      </c>
      <c r="H34" s="5">
        <v>95</v>
      </c>
      <c r="I34" s="5">
        <v>701</v>
      </c>
      <c r="J34" s="5">
        <v>13</v>
      </c>
      <c r="K34" s="5"/>
      <c r="L34" s="5">
        <v>332</v>
      </c>
      <c r="M34" s="5">
        <v>186</v>
      </c>
      <c r="N34" s="5">
        <v>90</v>
      </c>
      <c r="O34" s="5">
        <v>2</v>
      </c>
      <c r="P34" s="5"/>
      <c r="Q34" s="5">
        <v>301</v>
      </c>
      <c r="R34" s="5"/>
      <c r="S34" s="5" t="s">
        <v>114</v>
      </c>
      <c r="T34" s="5">
        <v>28</v>
      </c>
      <c r="U34" s="5"/>
      <c r="V34" s="5">
        <v>25</v>
      </c>
    </row>
    <row r="35" spans="1:22" x14ac:dyDescent="0.35">
      <c r="A35" s="4" t="s">
        <v>115</v>
      </c>
      <c r="B35" s="10" t="s">
        <v>945</v>
      </c>
      <c r="C35" s="4" t="s">
        <v>118</v>
      </c>
      <c r="D35" s="5"/>
      <c r="E35" s="5">
        <v>21</v>
      </c>
      <c r="F35" s="5"/>
      <c r="G35" s="5">
        <v>147</v>
      </c>
      <c r="H35" s="5">
        <v>80</v>
      </c>
      <c r="I35" s="5">
        <v>708</v>
      </c>
      <c r="J35" s="5">
        <v>35</v>
      </c>
      <c r="K35" s="5"/>
      <c r="L35" s="5">
        <v>382</v>
      </c>
      <c r="M35" s="5">
        <v>184</v>
      </c>
      <c r="N35" s="5">
        <v>136</v>
      </c>
      <c r="O35" s="5">
        <v>33</v>
      </c>
      <c r="P35" s="5"/>
      <c r="Q35" s="5">
        <v>359</v>
      </c>
      <c r="R35" s="5"/>
      <c r="S35" s="5">
        <v>164</v>
      </c>
      <c r="T35" s="5">
        <v>48</v>
      </c>
      <c r="U35" s="5"/>
      <c r="V35" s="5"/>
    </row>
    <row r="36" spans="1:22" x14ac:dyDescent="0.35">
      <c r="A36" s="4" t="s">
        <v>115</v>
      </c>
      <c r="B36" s="4" t="s">
        <v>946</v>
      </c>
      <c r="C36" s="4" t="s">
        <v>120</v>
      </c>
      <c r="D36" s="5"/>
      <c r="E36" s="5"/>
      <c r="F36" s="5"/>
      <c r="G36" s="5"/>
      <c r="H36" s="5"/>
      <c r="I36" s="5"/>
      <c r="J36" s="5"/>
      <c r="K36" s="5"/>
      <c r="L36" s="5"/>
      <c r="M36" s="5">
        <v>194</v>
      </c>
      <c r="N36" s="5">
        <v>112</v>
      </c>
      <c r="O36" s="5"/>
      <c r="P36" s="5"/>
      <c r="Q36" s="5" t="s">
        <v>121</v>
      </c>
      <c r="R36" s="5"/>
      <c r="S36" s="5"/>
      <c r="T36" s="5"/>
      <c r="U36" s="5"/>
      <c r="V36" s="5" t="s">
        <v>122</v>
      </c>
    </row>
    <row r="37" spans="1:22" x14ac:dyDescent="0.35">
      <c r="A37" s="4" t="s">
        <v>115</v>
      </c>
      <c r="B37" s="4" t="s">
        <v>947</v>
      </c>
      <c r="C37" s="4" t="s">
        <v>124</v>
      </c>
      <c r="D37" s="5">
        <v>8</v>
      </c>
      <c r="E37" s="5">
        <v>37</v>
      </c>
      <c r="F37" s="5"/>
      <c r="G37" s="5"/>
      <c r="H37" s="5">
        <v>92</v>
      </c>
      <c r="I37" s="5">
        <v>714</v>
      </c>
      <c r="J37" s="5">
        <v>47</v>
      </c>
      <c r="K37" s="5"/>
      <c r="L37" s="5">
        <v>386</v>
      </c>
      <c r="M37" s="5">
        <v>199</v>
      </c>
      <c r="N37" s="5">
        <v>135</v>
      </c>
      <c r="O37" s="5">
        <v>34</v>
      </c>
      <c r="P37" s="5"/>
      <c r="Q37" s="5">
        <v>363</v>
      </c>
      <c r="R37" s="5"/>
      <c r="S37" s="5"/>
      <c r="T37" s="5">
        <v>55</v>
      </c>
      <c r="U37" s="5"/>
      <c r="V37" s="5">
        <v>109</v>
      </c>
    </row>
    <row r="38" spans="1:22" x14ac:dyDescent="0.35">
      <c r="A38" s="4" t="s">
        <v>115</v>
      </c>
      <c r="B38" s="11" t="s">
        <v>125</v>
      </c>
      <c r="C38" s="4" t="s">
        <v>126</v>
      </c>
      <c r="D38" s="5" t="s">
        <v>127</v>
      </c>
      <c r="E38" s="5"/>
      <c r="F38" s="5"/>
      <c r="G38" s="5"/>
      <c r="H38" s="5"/>
      <c r="I38" s="12" t="s">
        <v>128</v>
      </c>
      <c r="J38" s="5">
        <v>54</v>
      </c>
      <c r="K38" s="5"/>
      <c r="L38" s="5"/>
      <c r="M38" s="5"/>
      <c r="N38" s="5"/>
      <c r="O38" s="5"/>
      <c r="P38" s="5"/>
      <c r="Q38" s="5">
        <v>351</v>
      </c>
      <c r="R38" s="5"/>
      <c r="S38" s="5"/>
      <c r="T38" s="5"/>
      <c r="U38" s="5"/>
      <c r="V38" s="5">
        <v>112</v>
      </c>
    </row>
    <row r="39" spans="1:22" ht="25" customHeight="1" x14ac:dyDescent="0.35">
      <c r="A39" s="4" t="s">
        <v>115</v>
      </c>
      <c r="B39" s="4" t="s">
        <v>948</v>
      </c>
      <c r="C39" s="10" t="s">
        <v>130</v>
      </c>
      <c r="D39" s="5" t="s">
        <v>127</v>
      </c>
      <c r="E39" s="5"/>
      <c r="F39" s="5"/>
      <c r="G39" s="5"/>
      <c r="H39" s="5"/>
      <c r="I39" s="12" t="s">
        <v>128</v>
      </c>
      <c r="J39" s="5">
        <v>54</v>
      </c>
      <c r="K39" s="5"/>
      <c r="L39" s="5"/>
      <c r="M39" s="5"/>
      <c r="N39" s="5"/>
      <c r="O39" s="5"/>
      <c r="P39" s="5"/>
      <c r="Q39" s="5">
        <v>351</v>
      </c>
      <c r="R39" s="5"/>
      <c r="S39" s="5"/>
      <c r="T39" s="5">
        <v>68</v>
      </c>
      <c r="U39" s="5"/>
      <c r="V39" s="5" t="s">
        <v>131</v>
      </c>
    </row>
    <row r="40" spans="1:22" x14ac:dyDescent="0.35">
      <c r="A40" s="4" t="s">
        <v>115</v>
      </c>
      <c r="B40" s="11" t="s">
        <v>132</v>
      </c>
      <c r="C40" s="4" t="s">
        <v>133</v>
      </c>
      <c r="D40" s="5"/>
      <c r="E40" s="5">
        <v>17</v>
      </c>
      <c r="F40" s="5"/>
      <c r="G40" s="5"/>
      <c r="H40" s="5">
        <v>78</v>
      </c>
      <c r="I40" s="5"/>
      <c r="J40" s="5"/>
      <c r="K40" s="5"/>
      <c r="L40" s="5"/>
      <c r="M40" s="5"/>
      <c r="N40" s="5">
        <v>131</v>
      </c>
      <c r="O40" s="5"/>
      <c r="P40" s="5"/>
      <c r="Q40" s="5"/>
      <c r="R40" s="5"/>
      <c r="S40" s="5">
        <v>173</v>
      </c>
      <c r="T40" s="5"/>
      <c r="U40" s="5"/>
      <c r="V40" s="5">
        <v>108</v>
      </c>
    </row>
    <row r="41" spans="1:22" x14ac:dyDescent="0.35">
      <c r="A41" s="4" t="s">
        <v>115</v>
      </c>
      <c r="B41" s="10" t="s">
        <v>949</v>
      </c>
      <c r="C41" s="10" t="s">
        <v>135</v>
      </c>
      <c r="D41" s="5"/>
      <c r="E41" s="5"/>
      <c r="F41" s="5"/>
      <c r="G41" s="5"/>
      <c r="H41" s="5"/>
      <c r="I41" s="5"/>
      <c r="J41" s="5"/>
      <c r="K41" s="5"/>
      <c r="L41" s="5"/>
      <c r="M41" s="5"/>
      <c r="N41" s="5"/>
      <c r="O41" s="5"/>
      <c r="P41" s="5"/>
      <c r="Q41" s="5"/>
      <c r="R41" s="5"/>
      <c r="S41" s="5"/>
      <c r="T41" s="5"/>
      <c r="U41" s="5"/>
      <c r="V41" s="5"/>
    </row>
    <row r="42" spans="1:22" ht="25" customHeight="1" x14ac:dyDescent="0.35">
      <c r="A42" s="4" t="s">
        <v>136</v>
      </c>
      <c r="B42" s="10" t="s">
        <v>137</v>
      </c>
      <c r="C42" s="10" t="s">
        <v>138</v>
      </c>
      <c r="D42" s="5"/>
      <c r="E42" s="5">
        <v>313</v>
      </c>
      <c r="F42" s="5"/>
      <c r="G42" s="5">
        <v>34</v>
      </c>
      <c r="H42" s="5">
        <v>559</v>
      </c>
      <c r="I42" s="5"/>
      <c r="J42" s="5"/>
      <c r="K42" s="5"/>
      <c r="L42" s="5">
        <v>882</v>
      </c>
      <c r="M42" s="5">
        <v>557</v>
      </c>
      <c r="N42" s="5">
        <v>571</v>
      </c>
      <c r="O42" s="5"/>
      <c r="P42" s="5"/>
      <c r="Q42" s="5"/>
      <c r="R42" s="5"/>
      <c r="S42" s="12" t="s">
        <v>139</v>
      </c>
      <c r="T42" s="5">
        <v>273</v>
      </c>
      <c r="U42" s="5"/>
      <c r="V42" s="5">
        <v>33</v>
      </c>
    </row>
    <row r="43" spans="1:22" ht="25" x14ac:dyDescent="0.35">
      <c r="A43" s="4" t="s">
        <v>140</v>
      </c>
      <c r="B43" s="14" t="s">
        <v>651</v>
      </c>
      <c r="C43" s="4" t="s">
        <v>652</v>
      </c>
      <c r="D43" s="5"/>
      <c r="E43" s="5"/>
      <c r="F43" s="5"/>
      <c r="G43" s="5"/>
      <c r="H43" s="5">
        <v>191</v>
      </c>
      <c r="I43" s="5" t="s">
        <v>143</v>
      </c>
      <c r="J43" s="5" t="s">
        <v>653</v>
      </c>
      <c r="K43" s="5"/>
      <c r="L43" s="5" t="s">
        <v>654</v>
      </c>
      <c r="M43" s="5"/>
      <c r="N43" s="5">
        <v>345</v>
      </c>
      <c r="O43" s="5">
        <v>442</v>
      </c>
      <c r="P43" s="5"/>
      <c r="Q43" s="5">
        <v>150</v>
      </c>
      <c r="R43" s="5"/>
      <c r="S43" s="5"/>
      <c r="T43" s="5" t="s">
        <v>655</v>
      </c>
      <c r="U43" s="5"/>
      <c r="V43" s="5"/>
    </row>
    <row r="44" spans="1:22" x14ac:dyDescent="0.35">
      <c r="A44" s="4" t="s">
        <v>140</v>
      </c>
      <c r="B44" s="4" t="s">
        <v>950</v>
      </c>
      <c r="C44" s="4" t="s">
        <v>145</v>
      </c>
      <c r="D44" s="5"/>
      <c r="E44" s="5">
        <v>99</v>
      </c>
      <c r="F44" s="5"/>
      <c r="G44" s="5">
        <v>224</v>
      </c>
      <c r="H44" s="5">
        <v>195</v>
      </c>
      <c r="I44" s="5"/>
      <c r="J44" s="5">
        <v>123</v>
      </c>
      <c r="K44" s="5"/>
      <c r="L44" s="5">
        <v>458</v>
      </c>
      <c r="M44" s="5">
        <v>330</v>
      </c>
      <c r="N44" s="5">
        <v>343</v>
      </c>
      <c r="O44" s="5">
        <v>161</v>
      </c>
      <c r="P44" s="5">
        <v>720</v>
      </c>
      <c r="Q44" s="5" t="s">
        <v>146</v>
      </c>
      <c r="R44" s="5"/>
      <c r="S44" s="5">
        <v>218</v>
      </c>
      <c r="T44" s="5">
        <v>134</v>
      </c>
      <c r="U44" s="5"/>
      <c r="V44" s="5"/>
    </row>
    <row r="45" spans="1:22" x14ac:dyDescent="0.35">
      <c r="A45" s="4" t="s">
        <v>140</v>
      </c>
      <c r="B45" s="4" t="s">
        <v>951</v>
      </c>
      <c r="C45" s="4" t="s">
        <v>148</v>
      </c>
      <c r="D45" s="5"/>
      <c r="E45" s="5">
        <v>98</v>
      </c>
      <c r="F45" s="5"/>
      <c r="G45" s="5"/>
      <c r="H45" s="5">
        <v>187</v>
      </c>
      <c r="I45" s="5" t="s">
        <v>149</v>
      </c>
      <c r="J45" s="5">
        <v>124</v>
      </c>
      <c r="K45" s="5"/>
      <c r="L45" s="5">
        <v>459</v>
      </c>
      <c r="M45" s="5"/>
      <c r="N45" s="5"/>
      <c r="O45" s="5">
        <v>144</v>
      </c>
      <c r="P45" s="5"/>
      <c r="Q45" s="5">
        <v>458</v>
      </c>
      <c r="R45" s="5"/>
      <c r="S45" s="5"/>
      <c r="T45" s="5">
        <v>136</v>
      </c>
      <c r="U45" s="5"/>
      <c r="V45" s="5"/>
    </row>
    <row r="46" spans="1:22" x14ac:dyDescent="0.35">
      <c r="A46" s="4" t="s">
        <v>140</v>
      </c>
      <c r="B46" s="10" t="s">
        <v>952</v>
      </c>
      <c r="C46" s="4" t="s">
        <v>151</v>
      </c>
      <c r="D46" s="5"/>
      <c r="E46" s="5">
        <v>96</v>
      </c>
      <c r="F46" s="5"/>
      <c r="G46" s="5"/>
      <c r="H46" s="5"/>
      <c r="I46" s="5"/>
      <c r="J46" s="5"/>
      <c r="K46" s="5"/>
      <c r="L46" s="5"/>
      <c r="M46" s="5"/>
      <c r="N46" s="5"/>
      <c r="O46" s="5"/>
      <c r="P46" s="5"/>
      <c r="Q46" s="5"/>
      <c r="R46" s="5"/>
      <c r="S46" s="5"/>
      <c r="T46" s="5"/>
      <c r="U46" s="5"/>
      <c r="V46" s="5"/>
    </row>
    <row r="47" spans="1:22" x14ac:dyDescent="0.35">
      <c r="A47" s="4" t="s">
        <v>140</v>
      </c>
      <c r="B47" s="4" t="s">
        <v>953</v>
      </c>
      <c r="C47" s="4" t="s">
        <v>153</v>
      </c>
      <c r="D47" s="5"/>
      <c r="E47" s="5"/>
      <c r="F47" s="5"/>
      <c r="G47" s="5"/>
      <c r="H47" s="5">
        <v>199</v>
      </c>
      <c r="I47" s="5"/>
      <c r="J47" s="5">
        <v>127</v>
      </c>
      <c r="K47" s="5"/>
      <c r="L47" s="5">
        <v>457</v>
      </c>
      <c r="M47" s="5"/>
      <c r="N47" s="5">
        <v>352</v>
      </c>
      <c r="O47" s="5">
        <v>157</v>
      </c>
      <c r="P47" s="5"/>
      <c r="Q47" s="5">
        <v>438</v>
      </c>
      <c r="R47" s="5"/>
      <c r="S47" s="5"/>
      <c r="T47" s="5">
        <v>151</v>
      </c>
      <c r="U47" s="5"/>
      <c r="V47" s="5"/>
    </row>
    <row r="48" spans="1:22" x14ac:dyDescent="0.35">
      <c r="A48" s="4" t="s">
        <v>154</v>
      </c>
      <c r="B48" s="10" t="s">
        <v>954</v>
      </c>
      <c r="C48" s="4" t="s">
        <v>156</v>
      </c>
      <c r="D48" s="5"/>
      <c r="E48" s="5">
        <v>119</v>
      </c>
      <c r="F48" s="5"/>
      <c r="G48" s="5"/>
      <c r="H48" s="5"/>
      <c r="I48" s="5"/>
      <c r="J48" s="5"/>
      <c r="K48" s="5"/>
      <c r="L48" s="5"/>
      <c r="M48" s="5"/>
      <c r="N48" s="5"/>
      <c r="O48" s="5"/>
      <c r="P48" s="5"/>
      <c r="Q48" s="5"/>
      <c r="R48" s="5"/>
      <c r="S48" s="5"/>
      <c r="T48" s="5"/>
      <c r="U48" s="5"/>
      <c r="V48" s="5"/>
    </row>
    <row r="49" spans="1:22" x14ac:dyDescent="0.35">
      <c r="A49" s="4" t="s">
        <v>157</v>
      </c>
      <c r="B49" s="14" t="s">
        <v>642</v>
      </c>
      <c r="C49" s="4" t="s">
        <v>643</v>
      </c>
      <c r="D49" s="5"/>
      <c r="E49" s="5"/>
      <c r="F49" s="5"/>
      <c r="G49" s="5"/>
      <c r="H49" s="5"/>
      <c r="I49" s="5"/>
      <c r="J49" s="5"/>
      <c r="K49" s="5"/>
      <c r="L49" s="5"/>
      <c r="M49" s="5"/>
      <c r="N49" s="5"/>
      <c r="O49" s="5"/>
      <c r="P49" s="5"/>
      <c r="Q49" s="5"/>
      <c r="R49" s="5"/>
      <c r="S49" s="5"/>
      <c r="T49" s="5"/>
      <c r="U49" s="5"/>
      <c r="V49" s="5"/>
    </row>
    <row r="50" spans="1:22" x14ac:dyDescent="0.35">
      <c r="A50" s="4" t="s">
        <v>157</v>
      </c>
      <c r="B50" s="14" t="s">
        <v>644</v>
      </c>
      <c r="C50" s="4" t="s">
        <v>645</v>
      </c>
      <c r="D50" s="5"/>
      <c r="E50" s="5"/>
      <c r="F50" s="5"/>
      <c r="G50" s="5"/>
      <c r="H50" s="5"/>
      <c r="I50" s="5"/>
      <c r="J50" s="5"/>
      <c r="K50" s="5"/>
      <c r="L50" s="5"/>
      <c r="M50" s="5"/>
      <c r="N50" s="5"/>
      <c r="O50" s="5"/>
      <c r="P50" s="5"/>
      <c r="Q50" s="5"/>
      <c r="R50" s="5"/>
      <c r="S50" s="5"/>
      <c r="T50" s="5"/>
      <c r="U50" s="5"/>
      <c r="V50" s="5"/>
    </row>
    <row r="51" spans="1:22" x14ac:dyDescent="0.35">
      <c r="A51" s="3" t="s">
        <v>163</v>
      </c>
    </row>
    <row r="52" spans="1:22" x14ac:dyDescent="0.35">
      <c r="A52" s="4" t="s">
        <v>164</v>
      </c>
      <c r="B52" s="4" t="s">
        <v>955</v>
      </c>
      <c r="C52" s="4" t="s">
        <v>166</v>
      </c>
      <c r="D52" s="5">
        <v>4</v>
      </c>
      <c r="E52" s="5"/>
      <c r="F52" s="5"/>
      <c r="G52" s="5">
        <v>575</v>
      </c>
      <c r="H52" s="5"/>
      <c r="I52" s="5"/>
      <c r="J52" s="5"/>
      <c r="K52" s="5"/>
      <c r="L52" s="5"/>
      <c r="M52" s="5"/>
      <c r="N52" s="5"/>
      <c r="O52" s="5"/>
      <c r="P52" s="5"/>
      <c r="Q52" s="5"/>
      <c r="R52" s="5"/>
      <c r="S52" s="5"/>
      <c r="T52" s="5"/>
      <c r="U52" s="5"/>
      <c r="V52" s="5"/>
    </row>
    <row r="53" spans="1:22" ht="25" x14ac:dyDescent="0.35">
      <c r="A53" s="4" t="s">
        <v>167</v>
      </c>
      <c r="B53" s="4" t="s">
        <v>956</v>
      </c>
      <c r="C53" s="4" t="s">
        <v>646</v>
      </c>
      <c r="D53" s="5">
        <v>4</v>
      </c>
      <c r="E53" s="5">
        <v>152</v>
      </c>
      <c r="F53" s="5"/>
      <c r="G53" s="5">
        <v>570</v>
      </c>
      <c r="H53" s="5"/>
      <c r="I53" s="5"/>
      <c r="J53" s="5"/>
      <c r="K53" s="5"/>
      <c r="L53" s="5"/>
      <c r="M53" s="5"/>
      <c r="N53" s="5"/>
      <c r="O53" s="5">
        <v>275</v>
      </c>
      <c r="P53" s="5"/>
      <c r="Q53" s="5">
        <v>954</v>
      </c>
      <c r="R53" s="5"/>
      <c r="S53" s="5"/>
      <c r="T53" s="5"/>
      <c r="U53" s="5"/>
      <c r="V53" s="5"/>
    </row>
    <row r="54" spans="1:22" ht="25" x14ac:dyDescent="0.35">
      <c r="A54" s="4" t="s">
        <v>170</v>
      </c>
      <c r="B54" s="4" t="s">
        <v>957</v>
      </c>
      <c r="C54" s="4" t="s">
        <v>647</v>
      </c>
      <c r="D54" s="5">
        <v>4</v>
      </c>
      <c r="E54" s="5"/>
      <c r="F54" s="5"/>
      <c r="G54" s="5">
        <v>572</v>
      </c>
      <c r="H54" s="5">
        <v>275</v>
      </c>
      <c r="I54" s="5"/>
      <c r="J54" s="5">
        <v>211</v>
      </c>
      <c r="K54" s="5">
        <v>803</v>
      </c>
      <c r="L54" s="5">
        <v>934</v>
      </c>
      <c r="M54" s="5"/>
      <c r="N54" s="5">
        <v>47</v>
      </c>
      <c r="O54" s="5">
        <v>274</v>
      </c>
      <c r="P54" s="5"/>
      <c r="Q54" s="5"/>
      <c r="R54" s="5"/>
      <c r="S54" s="5">
        <v>314</v>
      </c>
      <c r="T54" s="5">
        <v>180</v>
      </c>
      <c r="U54" s="5"/>
      <c r="V54" s="5"/>
    </row>
    <row r="55" spans="1:22" x14ac:dyDescent="0.35">
      <c r="A55" s="4" t="s">
        <v>173</v>
      </c>
      <c r="B55" s="10" t="s">
        <v>958</v>
      </c>
      <c r="C55" s="4" t="s">
        <v>175</v>
      </c>
      <c r="D55" s="5"/>
      <c r="E55" s="5">
        <v>416</v>
      </c>
      <c r="F55" s="5"/>
      <c r="G55" s="5"/>
      <c r="H55" s="5">
        <v>590</v>
      </c>
      <c r="I55" s="5"/>
      <c r="J55" s="5">
        <v>265</v>
      </c>
      <c r="K55" s="5"/>
      <c r="L55" s="5">
        <v>755</v>
      </c>
      <c r="M55" s="5">
        <v>240</v>
      </c>
      <c r="N55" s="5">
        <v>527</v>
      </c>
      <c r="O55" s="5">
        <v>534</v>
      </c>
      <c r="P55" s="5"/>
      <c r="Q55" s="5">
        <v>843</v>
      </c>
      <c r="R55" s="5"/>
      <c r="S55" s="5">
        <v>257</v>
      </c>
      <c r="T55" s="5">
        <v>350</v>
      </c>
      <c r="U55" s="5"/>
      <c r="V55" s="5"/>
    </row>
    <row r="56" spans="1:22" x14ac:dyDescent="0.35">
      <c r="A56" s="3" t="s">
        <v>176</v>
      </c>
    </row>
    <row r="57" spans="1:22" x14ac:dyDescent="0.35">
      <c r="A57" s="4" t="s">
        <v>177</v>
      </c>
      <c r="B57" s="10" t="s">
        <v>959</v>
      </c>
      <c r="C57" s="4" t="s">
        <v>179</v>
      </c>
      <c r="D57" s="5"/>
      <c r="E57" s="5">
        <v>180</v>
      </c>
      <c r="F57" s="5"/>
      <c r="G57" s="5">
        <v>391</v>
      </c>
      <c r="H57" s="5">
        <v>287</v>
      </c>
      <c r="I57" s="5"/>
      <c r="J57" s="5">
        <v>331</v>
      </c>
      <c r="K57" s="5"/>
      <c r="L57" s="5">
        <v>581</v>
      </c>
      <c r="M57" s="5"/>
      <c r="N57" s="5" t="s">
        <v>180</v>
      </c>
      <c r="O57" s="5">
        <v>285</v>
      </c>
      <c r="P57" s="5"/>
      <c r="Q57" s="5">
        <v>634</v>
      </c>
      <c r="R57" s="5"/>
      <c r="S57" s="5">
        <v>275</v>
      </c>
      <c r="T57" s="5"/>
      <c r="U57" s="5"/>
      <c r="V57" s="5"/>
    </row>
    <row r="58" spans="1:22" x14ac:dyDescent="0.35">
      <c r="A58" s="4" t="s">
        <v>177</v>
      </c>
      <c r="B58" s="10" t="s">
        <v>960</v>
      </c>
      <c r="C58" s="4" t="s">
        <v>182</v>
      </c>
      <c r="D58" s="5"/>
      <c r="E58" s="5">
        <v>181</v>
      </c>
      <c r="F58" s="5"/>
      <c r="G58" s="5">
        <v>392</v>
      </c>
      <c r="H58" s="5"/>
      <c r="I58" s="5"/>
      <c r="J58" s="5"/>
      <c r="K58" s="5"/>
      <c r="L58" s="5"/>
      <c r="M58" s="5"/>
      <c r="N58" s="5"/>
      <c r="O58" s="5"/>
      <c r="P58" s="5"/>
      <c r="Q58" s="5"/>
      <c r="R58" s="5"/>
      <c r="S58" s="5">
        <v>274</v>
      </c>
      <c r="T58" s="5"/>
      <c r="U58" s="5"/>
      <c r="V58" s="5"/>
    </row>
    <row r="59" spans="1:22" x14ac:dyDescent="0.35">
      <c r="A59" s="4" t="s">
        <v>183</v>
      </c>
      <c r="B59" s="4" t="s">
        <v>961</v>
      </c>
      <c r="C59" s="4" t="s">
        <v>185</v>
      </c>
      <c r="D59" s="5"/>
      <c r="E59" s="5">
        <v>186</v>
      </c>
      <c r="F59" s="5"/>
      <c r="G59" s="5">
        <v>401</v>
      </c>
      <c r="H59" s="5"/>
      <c r="I59" s="5"/>
      <c r="J59" s="5">
        <v>223</v>
      </c>
      <c r="K59" s="5"/>
      <c r="L59" s="5" t="s">
        <v>186</v>
      </c>
      <c r="M59" s="5"/>
      <c r="N59" s="5">
        <v>247</v>
      </c>
      <c r="O59" s="5">
        <v>88</v>
      </c>
      <c r="P59" s="5"/>
      <c r="Q59" s="5">
        <v>378</v>
      </c>
      <c r="R59" s="5"/>
      <c r="S59" s="5">
        <v>184</v>
      </c>
      <c r="T59" s="5">
        <v>79</v>
      </c>
      <c r="U59" s="5"/>
      <c r="V59" s="5"/>
    </row>
    <row r="60" spans="1:22" x14ac:dyDescent="0.35">
      <c r="A60" s="4" t="s">
        <v>189</v>
      </c>
      <c r="B60" s="4" t="s">
        <v>962</v>
      </c>
      <c r="C60" s="10" t="s">
        <v>192</v>
      </c>
      <c r="D60" s="5"/>
      <c r="E60" s="5">
        <v>192</v>
      </c>
      <c r="F60" s="5"/>
      <c r="G60" s="5">
        <v>426</v>
      </c>
      <c r="H60" s="5">
        <v>331</v>
      </c>
      <c r="I60" s="5"/>
      <c r="J60" s="5">
        <v>235</v>
      </c>
      <c r="K60" s="5"/>
      <c r="L60" s="5">
        <v>614</v>
      </c>
      <c r="M60" s="5">
        <v>401</v>
      </c>
      <c r="N60" s="5">
        <v>417</v>
      </c>
      <c r="O60" s="5">
        <v>308</v>
      </c>
      <c r="P60" s="5"/>
      <c r="Q60" s="5">
        <v>656</v>
      </c>
      <c r="R60" s="5"/>
      <c r="S60" s="5"/>
      <c r="T60" s="5"/>
      <c r="U60" s="5"/>
      <c r="V60" s="5"/>
    </row>
    <row r="61" spans="1:22" x14ac:dyDescent="0.35">
      <c r="A61" s="3" t="s">
        <v>193</v>
      </c>
    </row>
    <row r="62" spans="1:22" x14ac:dyDescent="0.35">
      <c r="A62" s="4" t="s">
        <v>183</v>
      </c>
      <c r="B62" s="4" t="s">
        <v>963</v>
      </c>
      <c r="C62" s="4" t="s">
        <v>195</v>
      </c>
      <c r="D62" s="5"/>
      <c r="E62" s="5">
        <v>236</v>
      </c>
      <c r="F62" s="5"/>
      <c r="G62" s="5"/>
      <c r="H62" s="5">
        <v>369</v>
      </c>
      <c r="I62" s="5"/>
      <c r="J62" s="5">
        <v>363</v>
      </c>
      <c r="K62" s="5"/>
      <c r="L62" s="5">
        <v>562</v>
      </c>
      <c r="M62" s="5"/>
      <c r="N62" s="5" t="s">
        <v>196</v>
      </c>
      <c r="O62" s="5">
        <v>378</v>
      </c>
      <c r="P62" s="5"/>
      <c r="Q62" s="5">
        <v>556</v>
      </c>
      <c r="R62" s="5"/>
      <c r="S62" s="5">
        <v>191</v>
      </c>
      <c r="T62" s="5"/>
      <c r="U62" s="5"/>
      <c r="V62" s="5"/>
    </row>
    <row r="63" spans="1:22" x14ac:dyDescent="0.35">
      <c r="A63" s="4" t="s">
        <v>183</v>
      </c>
      <c r="B63" s="10" t="s">
        <v>964</v>
      </c>
      <c r="C63" s="4" t="s">
        <v>198</v>
      </c>
      <c r="D63" s="5"/>
      <c r="E63" s="5">
        <v>189</v>
      </c>
      <c r="F63" s="5"/>
      <c r="G63" s="5"/>
      <c r="H63" s="5"/>
      <c r="I63" s="5"/>
      <c r="J63" s="5"/>
      <c r="K63" s="5"/>
      <c r="L63" s="5"/>
      <c r="M63" s="5"/>
      <c r="N63" s="5"/>
      <c r="O63" s="5"/>
      <c r="P63" s="5"/>
      <c r="Q63" s="5"/>
      <c r="R63" s="5"/>
      <c r="S63" s="5"/>
      <c r="T63" s="5"/>
      <c r="U63" s="5"/>
      <c r="V63" s="5"/>
    </row>
    <row r="64" spans="1:22" x14ac:dyDescent="0.35">
      <c r="A64" s="4" t="s">
        <v>199</v>
      </c>
      <c r="B64" s="10" t="s">
        <v>200</v>
      </c>
      <c r="C64" s="4" t="s">
        <v>201</v>
      </c>
      <c r="D64" s="5"/>
      <c r="E64" s="5">
        <v>328</v>
      </c>
      <c r="F64" s="5"/>
      <c r="G64" s="5">
        <v>446</v>
      </c>
      <c r="H64" s="5"/>
      <c r="I64" s="5"/>
      <c r="J64" s="5"/>
      <c r="K64" s="5"/>
      <c r="L64" s="5"/>
      <c r="M64" s="5"/>
      <c r="N64" s="5"/>
      <c r="O64" s="5"/>
      <c r="P64" s="5"/>
      <c r="Q64" s="5"/>
      <c r="R64" s="5"/>
      <c r="S64" s="5">
        <v>277</v>
      </c>
      <c r="T64" s="5"/>
      <c r="U64" s="5"/>
      <c r="V64" s="5"/>
    </row>
    <row r="65" spans="1:22" x14ac:dyDescent="0.35">
      <c r="A65" s="4" t="s">
        <v>199</v>
      </c>
      <c r="B65" s="10" t="s">
        <v>202</v>
      </c>
      <c r="C65" s="4" t="s">
        <v>203</v>
      </c>
      <c r="D65" s="5"/>
      <c r="E65" s="5"/>
      <c r="F65" s="5"/>
      <c r="G65" s="5"/>
      <c r="H65" s="5"/>
      <c r="I65" s="5"/>
      <c r="J65" s="5"/>
      <c r="K65" s="5"/>
      <c r="L65" s="5"/>
      <c r="M65" s="5"/>
      <c r="N65" s="5"/>
      <c r="O65" s="5"/>
      <c r="P65" s="5"/>
      <c r="Q65" s="5"/>
      <c r="R65" s="5"/>
      <c r="S65" s="5"/>
      <c r="T65" s="5"/>
      <c r="U65" s="5"/>
      <c r="V65" s="5"/>
    </row>
    <row r="66" spans="1:22" x14ac:dyDescent="0.35">
      <c r="A66" s="4" t="s">
        <v>205</v>
      </c>
      <c r="B66" s="4" t="s">
        <v>965</v>
      </c>
      <c r="C66" s="4" t="s">
        <v>207</v>
      </c>
      <c r="D66" s="5"/>
      <c r="E66" s="5">
        <v>65</v>
      </c>
      <c r="F66" s="5"/>
      <c r="G66" s="5">
        <v>185</v>
      </c>
      <c r="H66" s="5">
        <v>137</v>
      </c>
      <c r="I66" s="5"/>
      <c r="J66" s="5">
        <v>185</v>
      </c>
      <c r="K66" s="5"/>
      <c r="L66" s="5">
        <v>938</v>
      </c>
      <c r="M66" s="5"/>
      <c r="N66" s="5">
        <v>48</v>
      </c>
      <c r="O66" s="5">
        <v>269</v>
      </c>
      <c r="P66" s="5"/>
      <c r="Q66" s="5">
        <v>949</v>
      </c>
      <c r="R66" s="5"/>
      <c r="S66" s="5">
        <v>252</v>
      </c>
      <c r="T66" s="5">
        <v>349</v>
      </c>
      <c r="U66" s="5"/>
      <c r="V66" s="5"/>
    </row>
    <row r="67" spans="1:22" x14ac:dyDescent="0.35">
      <c r="A67" s="4" t="s">
        <v>205</v>
      </c>
      <c r="B67" s="10" t="s">
        <v>966</v>
      </c>
      <c r="C67" s="4" t="s">
        <v>209</v>
      </c>
      <c r="D67" s="5"/>
      <c r="E67" s="5">
        <v>243</v>
      </c>
      <c r="F67" s="5"/>
      <c r="G67" s="5">
        <v>310</v>
      </c>
      <c r="H67" s="5">
        <v>387</v>
      </c>
      <c r="I67" s="5"/>
      <c r="J67" s="5">
        <v>353</v>
      </c>
      <c r="K67" s="5"/>
      <c r="L67" s="5">
        <v>556</v>
      </c>
      <c r="M67" s="5">
        <v>526</v>
      </c>
      <c r="N67" s="5">
        <v>378</v>
      </c>
      <c r="O67" s="5">
        <v>377</v>
      </c>
      <c r="P67" s="5"/>
      <c r="Q67" s="5">
        <v>557</v>
      </c>
      <c r="R67" s="5"/>
      <c r="S67" s="5">
        <v>245</v>
      </c>
      <c r="T67" s="5">
        <v>299</v>
      </c>
      <c r="U67" s="5"/>
      <c r="V67" s="5"/>
    </row>
    <row r="68" spans="1:22" x14ac:dyDescent="0.35">
      <c r="A68" s="4" t="s">
        <v>210</v>
      </c>
      <c r="B68" s="10" t="s">
        <v>967</v>
      </c>
      <c r="C68" s="4" t="s">
        <v>212</v>
      </c>
      <c r="D68" s="5"/>
      <c r="E68" s="5">
        <v>417</v>
      </c>
      <c r="F68" s="5"/>
      <c r="G68" s="5">
        <v>538</v>
      </c>
      <c r="H68" s="5">
        <v>596</v>
      </c>
      <c r="I68" s="5"/>
      <c r="J68" s="5"/>
      <c r="K68" s="5"/>
      <c r="L68" s="5">
        <v>759</v>
      </c>
      <c r="M68" s="5">
        <v>594</v>
      </c>
      <c r="N68" s="5">
        <v>476</v>
      </c>
      <c r="O68" s="5"/>
      <c r="P68" s="5"/>
      <c r="Q68" s="5"/>
      <c r="R68" s="5"/>
      <c r="S68" s="5"/>
      <c r="T68" s="5"/>
      <c r="U68" s="5"/>
      <c r="V68" s="5"/>
    </row>
    <row r="69" spans="1:22" ht="25" x14ac:dyDescent="0.35">
      <c r="A69" s="4" t="s">
        <v>210</v>
      </c>
      <c r="B69" s="10" t="s">
        <v>968</v>
      </c>
      <c r="C69" s="10" t="s">
        <v>648</v>
      </c>
      <c r="D69" s="5"/>
      <c r="E69" s="5"/>
      <c r="F69" s="5"/>
      <c r="G69" s="5"/>
      <c r="H69" s="5"/>
      <c r="I69" s="5"/>
      <c r="J69" s="5"/>
      <c r="K69" s="5"/>
      <c r="L69" s="5"/>
      <c r="M69" s="5"/>
      <c r="N69" s="5"/>
      <c r="O69" s="5"/>
      <c r="P69" s="5"/>
      <c r="Q69" s="5"/>
      <c r="R69" s="5"/>
      <c r="S69" s="5"/>
      <c r="T69" s="5"/>
      <c r="U69" s="5"/>
      <c r="V69" s="5"/>
    </row>
    <row r="70" spans="1:22" x14ac:dyDescent="0.35">
      <c r="A70" s="4" t="s">
        <v>210</v>
      </c>
      <c r="B70" s="4" t="s">
        <v>969</v>
      </c>
      <c r="C70" s="4" t="s">
        <v>215</v>
      </c>
      <c r="D70" s="5">
        <v>7</v>
      </c>
      <c r="E70" s="5">
        <v>408</v>
      </c>
      <c r="F70" s="5"/>
      <c r="G70" s="5">
        <v>539</v>
      </c>
      <c r="H70" s="5"/>
      <c r="I70" s="5"/>
      <c r="J70" s="5"/>
      <c r="K70" s="5"/>
      <c r="L70" s="5"/>
      <c r="M70" s="5">
        <v>595</v>
      </c>
      <c r="N70" s="5">
        <v>480</v>
      </c>
      <c r="O70" s="5"/>
      <c r="P70" s="5"/>
      <c r="Q70" s="5"/>
      <c r="R70" s="5"/>
      <c r="S70" s="5"/>
      <c r="T70" s="5"/>
      <c r="U70" s="5"/>
      <c r="V70" s="5">
        <v>107</v>
      </c>
    </row>
    <row r="71" spans="1:22" x14ac:dyDescent="0.35">
      <c r="A71" s="4" t="s">
        <v>217</v>
      </c>
      <c r="B71" s="4" t="s">
        <v>218</v>
      </c>
      <c r="C71" s="4" t="s">
        <v>219</v>
      </c>
      <c r="D71" s="5"/>
      <c r="E71" s="5">
        <v>438</v>
      </c>
      <c r="F71" s="5"/>
      <c r="G71" s="5">
        <v>284</v>
      </c>
      <c r="H71" s="5"/>
      <c r="I71" s="5"/>
      <c r="J71" s="5"/>
      <c r="K71" s="5"/>
      <c r="L71" s="5"/>
      <c r="M71" s="5"/>
      <c r="N71" s="5"/>
      <c r="O71" s="5"/>
      <c r="P71" s="5"/>
      <c r="Q71" s="5"/>
      <c r="R71" s="5"/>
      <c r="S71" s="5"/>
      <c r="T71" s="5"/>
      <c r="U71" s="5"/>
      <c r="V71" s="5"/>
    </row>
  </sheetData>
  <autoFilter ref="A1:V71" xr:uid="{00000000-0009-0000-0000-000001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election activeCell="E6" sqref="E6"/>
    </sheetView>
  </sheetViews>
  <sheetFormatPr defaultRowHeight="14.5" x14ac:dyDescent="0.35"/>
  <cols>
    <col min="1" max="1" width="6" customWidth="1"/>
    <col min="2" max="2" width="110" customWidth="1"/>
  </cols>
  <sheetData>
    <row r="1" spans="1:2" x14ac:dyDescent="0.35">
      <c r="A1" s="6"/>
      <c r="B1" s="7" t="s">
        <v>276</v>
      </c>
    </row>
    <row r="2" spans="1:2" ht="63" customHeight="1" x14ac:dyDescent="0.35">
      <c r="A2" s="8"/>
      <c r="B2" s="7" t="s">
        <v>277</v>
      </c>
    </row>
    <row r="3" spans="1:2" ht="37.5" customHeight="1" x14ac:dyDescent="0.35">
      <c r="A3" s="8"/>
      <c r="B3" s="4" t="s">
        <v>278</v>
      </c>
    </row>
    <row r="4" spans="1:2" x14ac:dyDescent="0.35">
      <c r="A4" s="9"/>
      <c r="B4" s="7"/>
    </row>
    <row r="5" spans="1:2" x14ac:dyDescent="0.35">
      <c r="A5" s="8"/>
      <c r="B5" s="7" t="s">
        <v>279</v>
      </c>
    </row>
    <row r="6" spans="1:2" ht="152.5" customHeight="1" x14ac:dyDescent="0.35">
      <c r="A6" s="8">
        <v>1</v>
      </c>
      <c r="B6" s="10" t="s">
        <v>280</v>
      </c>
    </row>
    <row r="7" spans="1:2" ht="38.15" customHeight="1" x14ac:dyDescent="0.35">
      <c r="A7" s="8">
        <v>2</v>
      </c>
      <c r="B7" s="7" t="s">
        <v>281</v>
      </c>
    </row>
    <row r="8" spans="1:2" ht="63.65" customHeight="1" x14ac:dyDescent="0.35">
      <c r="A8" s="8">
        <v>3</v>
      </c>
      <c r="B8" s="7" t="s">
        <v>282</v>
      </c>
    </row>
    <row r="9" spans="1:2" ht="50.5" customHeight="1" x14ac:dyDescent="0.35">
      <c r="A9" s="8">
        <v>4</v>
      </c>
      <c r="B9" s="7" t="s">
        <v>283</v>
      </c>
    </row>
    <row r="10" spans="1:2" ht="38.15" customHeight="1" x14ac:dyDescent="0.35">
      <c r="A10" s="8">
        <v>5</v>
      </c>
      <c r="B10" s="4" t="s">
        <v>284</v>
      </c>
    </row>
    <row r="11" spans="1:2" ht="153.65" customHeight="1" x14ac:dyDescent="0.35">
      <c r="A11" s="8">
        <v>6</v>
      </c>
      <c r="B11" s="7" t="s">
        <v>285</v>
      </c>
    </row>
    <row r="12" spans="1:2" ht="77.5" customHeight="1" x14ac:dyDescent="0.35">
      <c r="A12" s="8">
        <v>7</v>
      </c>
      <c r="B12" s="10" t="s">
        <v>286</v>
      </c>
    </row>
    <row r="13" spans="1:2" ht="50.5" customHeight="1" x14ac:dyDescent="0.35">
      <c r="A13" s="8">
        <v>8</v>
      </c>
      <c r="B13" s="7" t="s">
        <v>287</v>
      </c>
    </row>
    <row r="14" spans="1:2" ht="51.65" customHeight="1" x14ac:dyDescent="0.35">
      <c r="A14" s="8">
        <v>9</v>
      </c>
      <c r="B14" s="7" t="s">
        <v>288</v>
      </c>
    </row>
    <row r="15" spans="1:2" ht="25.5" customHeight="1" x14ac:dyDescent="0.35">
      <c r="A15" s="8">
        <v>10</v>
      </c>
      <c r="B15" s="7" t="s">
        <v>289</v>
      </c>
    </row>
    <row r="16" spans="1:2" ht="38.5" customHeight="1" x14ac:dyDescent="0.35">
      <c r="A16" s="8">
        <v>11</v>
      </c>
      <c r="B16" s="7" t="s">
        <v>290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48"/>
  <sheetViews>
    <sheetView zoomScaleNormal="100" workbookViewId="0">
      <pane xSplit="1" ySplit="1" topLeftCell="B4" activePane="bottomRight" state="frozen"/>
      <selection pane="topRight"/>
      <selection pane="bottomLeft"/>
      <selection pane="bottomRight" activeCell="C37" sqref="C37"/>
    </sheetView>
  </sheetViews>
  <sheetFormatPr defaultRowHeight="14.5" x14ac:dyDescent="0.35"/>
  <cols>
    <col min="1" max="1" width="30" customWidth="1"/>
    <col min="2" max="2" width="40" customWidth="1"/>
    <col min="3" max="3" width="36" customWidth="1"/>
    <col min="4" max="4" width="40" customWidth="1"/>
    <col min="5" max="5" width="13" customWidth="1"/>
    <col min="6" max="6" width="14" customWidth="1"/>
    <col min="7" max="7" width="30" customWidth="1"/>
    <col min="8" max="8" width="90" customWidth="1"/>
    <col min="9" max="9" width="7" customWidth="1"/>
    <col min="10" max="10" width="6" customWidth="1"/>
    <col min="11" max="11" width="7" customWidth="1"/>
    <col min="12" max="12" width="6" customWidth="1"/>
    <col min="13" max="13" width="8" customWidth="1"/>
    <col min="14" max="14" width="5" customWidth="1"/>
    <col min="15" max="15" width="8" customWidth="1"/>
    <col min="16" max="16" width="6" customWidth="1"/>
    <col min="17" max="17" width="7" customWidth="1"/>
    <col min="18" max="18" width="6" customWidth="1"/>
    <col min="19" max="19" width="8" customWidth="1"/>
    <col min="20" max="20" width="6" customWidth="1"/>
    <col min="21" max="22" width="8" customWidth="1"/>
    <col min="23" max="23" width="10" customWidth="1"/>
    <col min="24" max="26" width="6" customWidth="1"/>
  </cols>
  <sheetData>
    <row r="1" spans="1:26" ht="26.5" x14ac:dyDescent="0.35">
      <c r="A1" s="13" t="s">
        <v>298</v>
      </c>
      <c r="B1" s="13" t="s">
        <v>299</v>
      </c>
      <c r="C1" s="13" t="s">
        <v>300</v>
      </c>
      <c r="D1" s="13" t="s">
        <v>301</v>
      </c>
      <c r="E1" s="13" t="s">
        <v>302</v>
      </c>
      <c r="F1" s="13" t="s">
        <v>303</v>
      </c>
      <c r="G1" s="13" t="s">
        <v>304</v>
      </c>
      <c r="H1" s="13" t="s">
        <v>305</v>
      </c>
      <c r="I1" s="13" t="s">
        <v>4</v>
      </c>
      <c r="J1" s="13" t="s">
        <v>5</v>
      </c>
      <c r="K1" s="13" t="s">
        <v>6</v>
      </c>
      <c r="L1" s="13" t="s">
        <v>7</v>
      </c>
      <c r="M1" s="13" t="s">
        <v>8</v>
      </c>
      <c r="N1" s="13" t="s">
        <v>9</v>
      </c>
      <c r="O1" s="13" t="s">
        <v>10</v>
      </c>
      <c r="P1" s="13" t="s">
        <v>11</v>
      </c>
      <c r="Q1" s="13" t="s">
        <v>12</v>
      </c>
      <c r="R1" s="13" t="s">
        <v>13</v>
      </c>
      <c r="S1" s="13" t="s">
        <v>16</v>
      </c>
      <c r="T1" s="13" t="s">
        <v>15</v>
      </c>
      <c r="U1" s="13" t="s">
        <v>14</v>
      </c>
      <c r="V1" s="13" t="s">
        <v>17</v>
      </c>
      <c r="W1" s="13" t="s">
        <v>18</v>
      </c>
      <c r="X1" s="13" t="s">
        <v>19</v>
      </c>
      <c r="Y1" s="13" t="s">
        <v>20</v>
      </c>
      <c r="Z1" s="13" t="s">
        <v>21</v>
      </c>
    </row>
    <row r="2" spans="1:26" x14ac:dyDescent="0.35">
      <c r="A2" s="15" t="s">
        <v>307</v>
      </c>
      <c r="B2" s="21" t="s">
        <v>308</v>
      </c>
      <c r="C2" s="16" t="s">
        <v>309</v>
      </c>
      <c r="D2" s="16" t="s">
        <v>310</v>
      </c>
      <c r="E2" s="17" t="s">
        <v>311</v>
      </c>
      <c r="F2" s="17" t="s">
        <v>312</v>
      </c>
      <c r="G2" s="16" t="s">
        <v>302</v>
      </c>
      <c r="H2" s="16"/>
      <c r="I2" s="17">
        <v>442</v>
      </c>
      <c r="J2" s="17"/>
      <c r="K2" s="17"/>
      <c r="L2" s="17"/>
      <c r="M2" s="17"/>
      <c r="N2" s="17"/>
      <c r="O2" s="17"/>
      <c r="P2" s="17"/>
      <c r="Q2" s="17"/>
      <c r="R2" s="17"/>
      <c r="S2" s="17"/>
      <c r="T2" s="17"/>
      <c r="U2" s="17"/>
      <c r="V2" s="17"/>
      <c r="W2" s="17"/>
      <c r="X2" s="17"/>
      <c r="Y2" s="17"/>
      <c r="Z2" s="17"/>
    </row>
    <row r="3" spans="1:26" x14ac:dyDescent="0.35">
      <c r="A3" s="18" t="s">
        <v>307</v>
      </c>
      <c r="B3" s="14" t="s">
        <v>313</v>
      </c>
      <c r="C3" s="4" t="s">
        <v>314</v>
      </c>
      <c r="D3" s="4" t="s">
        <v>315</v>
      </c>
      <c r="E3" s="5" t="s">
        <v>316</v>
      </c>
      <c r="F3" s="5" t="s">
        <v>312</v>
      </c>
      <c r="G3" s="4" t="s">
        <v>302</v>
      </c>
      <c r="H3" s="4"/>
      <c r="I3" s="5">
        <v>433</v>
      </c>
      <c r="J3" s="5"/>
      <c r="K3" s="5">
        <v>552</v>
      </c>
      <c r="L3" s="5">
        <v>611</v>
      </c>
      <c r="M3" s="5"/>
      <c r="N3" s="5">
        <v>462</v>
      </c>
      <c r="O3" s="5"/>
      <c r="P3" s="5">
        <v>508</v>
      </c>
      <c r="Q3" s="5"/>
      <c r="R3" s="5">
        <v>538</v>
      </c>
      <c r="S3" s="5">
        <v>488</v>
      </c>
      <c r="T3" s="5"/>
      <c r="U3" s="5">
        <v>207</v>
      </c>
      <c r="V3" s="5"/>
      <c r="W3" s="5">
        <v>261</v>
      </c>
      <c r="X3" s="5">
        <v>321</v>
      </c>
      <c r="Y3" s="5"/>
      <c r="Z3" s="5"/>
    </row>
    <row r="4" spans="1:26" x14ac:dyDescent="0.35">
      <c r="A4" s="18" t="s">
        <v>307</v>
      </c>
      <c r="B4" s="11" t="s">
        <v>317</v>
      </c>
      <c r="C4" s="4" t="s">
        <v>318</v>
      </c>
      <c r="D4" s="4" t="s">
        <v>319</v>
      </c>
      <c r="E4" s="5" t="s">
        <v>316</v>
      </c>
      <c r="F4" s="5" t="s">
        <v>312</v>
      </c>
      <c r="G4" s="4" t="s">
        <v>302</v>
      </c>
      <c r="H4" s="4"/>
      <c r="I4" s="5"/>
      <c r="J4" s="5">
        <v>102</v>
      </c>
      <c r="K4" s="5"/>
      <c r="L4" s="5"/>
      <c r="M4" s="5"/>
      <c r="N4" s="5"/>
      <c r="O4" s="5"/>
      <c r="P4" s="5"/>
      <c r="Q4" s="5"/>
      <c r="R4" s="5"/>
      <c r="S4" s="5"/>
      <c r="T4" s="5"/>
      <c r="U4" s="5"/>
      <c r="V4" s="5"/>
      <c r="W4" s="5"/>
      <c r="X4" s="5"/>
      <c r="Y4" s="5"/>
      <c r="Z4" s="5"/>
    </row>
    <row r="5" spans="1:26" x14ac:dyDescent="0.35">
      <c r="A5" s="18" t="s">
        <v>307</v>
      </c>
      <c r="B5" s="14" t="s">
        <v>320</v>
      </c>
      <c r="C5" s="4" t="s">
        <v>321</v>
      </c>
      <c r="D5" s="4" t="s">
        <v>322</v>
      </c>
      <c r="E5" s="5" t="s">
        <v>323</v>
      </c>
      <c r="F5" s="5" t="s">
        <v>324</v>
      </c>
      <c r="G5" s="4" t="s">
        <v>303</v>
      </c>
      <c r="H5" s="4" t="s">
        <v>325</v>
      </c>
      <c r="I5" s="5">
        <v>16</v>
      </c>
      <c r="J5" s="5"/>
      <c r="K5" s="5">
        <v>134</v>
      </c>
      <c r="L5" s="5">
        <v>67</v>
      </c>
      <c r="M5" s="5"/>
      <c r="N5" s="5">
        <v>176</v>
      </c>
      <c r="O5" s="5"/>
      <c r="P5" s="5">
        <v>514</v>
      </c>
      <c r="Q5" s="5">
        <v>511</v>
      </c>
      <c r="R5" s="5">
        <v>100</v>
      </c>
      <c r="S5" s="5"/>
      <c r="T5" s="5"/>
      <c r="U5" s="5">
        <v>10</v>
      </c>
      <c r="V5" s="5"/>
      <c r="W5" s="5">
        <v>156</v>
      </c>
      <c r="X5" s="5"/>
      <c r="Y5" s="5"/>
      <c r="Z5" s="5"/>
    </row>
    <row r="6" spans="1:26" x14ac:dyDescent="0.35">
      <c r="A6" s="23" t="s">
        <v>327</v>
      </c>
      <c r="B6" s="11" t="s">
        <v>332</v>
      </c>
      <c r="C6" s="4" t="s">
        <v>333</v>
      </c>
      <c r="D6" s="4" t="s">
        <v>334</v>
      </c>
      <c r="E6" s="5" t="s">
        <v>323</v>
      </c>
      <c r="F6" s="5" t="s">
        <v>335</v>
      </c>
      <c r="G6" s="4" t="s">
        <v>303</v>
      </c>
      <c r="H6" s="4" t="s">
        <v>336</v>
      </c>
      <c r="I6" s="5">
        <v>33</v>
      </c>
      <c r="J6" s="5"/>
      <c r="K6" s="5"/>
      <c r="L6" s="5">
        <v>75</v>
      </c>
      <c r="M6" s="5"/>
      <c r="N6" s="5">
        <v>25</v>
      </c>
      <c r="O6" s="5"/>
      <c r="P6" s="5">
        <v>354</v>
      </c>
      <c r="Q6" s="5"/>
      <c r="R6" s="5"/>
      <c r="S6" s="5">
        <v>310</v>
      </c>
      <c r="T6" s="5"/>
      <c r="U6" s="5">
        <v>14</v>
      </c>
      <c r="V6" s="5"/>
      <c r="W6" s="5"/>
      <c r="X6" s="5"/>
      <c r="Y6" s="5"/>
      <c r="Z6" s="5"/>
    </row>
    <row r="7" spans="1:26" x14ac:dyDescent="0.35">
      <c r="A7" s="23" t="s">
        <v>341</v>
      </c>
      <c r="B7" s="11" t="s">
        <v>349</v>
      </c>
      <c r="C7" s="4" t="s">
        <v>350</v>
      </c>
      <c r="D7" s="4" t="s">
        <v>351</v>
      </c>
      <c r="E7" s="5" t="s">
        <v>346</v>
      </c>
      <c r="F7" s="5" t="s">
        <v>352</v>
      </c>
      <c r="G7" s="4" t="s">
        <v>303</v>
      </c>
      <c r="H7" s="4" t="s">
        <v>353</v>
      </c>
      <c r="I7" s="5"/>
      <c r="J7" s="5"/>
      <c r="K7" s="5">
        <v>130</v>
      </c>
      <c r="L7" s="5">
        <v>61</v>
      </c>
      <c r="M7" s="5"/>
      <c r="N7" s="5">
        <v>28</v>
      </c>
      <c r="O7" s="5"/>
      <c r="P7" s="5">
        <v>347</v>
      </c>
      <c r="Q7" s="5">
        <v>170</v>
      </c>
      <c r="R7" s="5">
        <v>102</v>
      </c>
      <c r="S7" s="5">
        <v>312</v>
      </c>
      <c r="T7" s="5"/>
      <c r="U7" s="5">
        <v>11</v>
      </c>
      <c r="V7" s="5"/>
      <c r="W7" s="5"/>
      <c r="X7" s="5">
        <v>29</v>
      </c>
      <c r="Y7" s="5"/>
      <c r="Z7" s="5"/>
    </row>
    <row r="8" spans="1:26" ht="26" x14ac:dyDescent="0.35">
      <c r="A8" s="20" t="s">
        <v>354</v>
      </c>
      <c r="B8" s="11" t="s">
        <v>914</v>
      </c>
      <c r="C8" s="4" t="s">
        <v>355</v>
      </c>
      <c r="D8" s="10" t="s">
        <v>915</v>
      </c>
      <c r="E8" s="5" t="s">
        <v>356</v>
      </c>
      <c r="F8" s="5" t="s">
        <v>357</v>
      </c>
      <c r="G8" s="4" t="s">
        <v>302</v>
      </c>
      <c r="H8" s="4" t="s">
        <v>358</v>
      </c>
      <c r="I8" s="5">
        <v>15</v>
      </c>
      <c r="J8" s="5"/>
      <c r="K8" s="5">
        <v>148</v>
      </c>
      <c r="L8" s="5">
        <v>104</v>
      </c>
      <c r="M8" s="5">
        <v>709</v>
      </c>
      <c r="N8" s="5">
        <v>43</v>
      </c>
      <c r="O8" s="5"/>
      <c r="P8" s="5">
        <v>385</v>
      </c>
      <c r="Q8" s="5">
        <v>291</v>
      </c>
      <c r="R8" s="5">
        <v>267</v>
      </c>
      <c r="S8" s="5"/>
      <c r="T8" s="5"/>
      <c r="U8" s="5">
        <v>39</v>
      </c>
      <c r="V8" s="5"/>
      <c r="W8" s="5">
        <v>169</v>
      </c>
      <c r="X8" s="5">
        <v>64</v>
      </c>
      <c r="Y8" s="5"/>
      <c r="Z8" s="5">
        <v>27</v>
      </c>
    </row>
    <row r="9" spans="1:26" ht="25" x14ac:dyDescent="0.35">
      <c r="A9" s="20" t="s">
        <v>365</v>
      </c>
      <c r="B9" s="14" t="s">
        <v>368</v>
      </c>
      <c r="C9" s="4" t="s">
        <v>369</v>
      </c>
      <c r="D9" s="4" t="s">
        <v>370</v>
      </c>
      <c r="E9" s="5" t="s">
        <v>331</v>
      </c>
      <c r="F9" s="5" t="s">
        <v>371</v>
      </c>
      <c r="G9" s="4" t="s">
        <v>303</v>
      </c>
      <c r="H9" s="4" t="s">
        <v>372</v>
      </c>
      <c r="I9" s="5">
        <v>30</v>
      </c>
      <c r="J9" s="5"/>
      <c r="K9" s="5">
        <v>157</v>
      </c>
      <c r="L9" s="5">
        <v>105</v>
      </c>
      <c r="M9" s="5">
        <v>712</v>
      </c>
      <c r="N9" s="5">
        <v>44</v>
      </c>
      <c r="O9" s="5"/>
      <c r="P9" s="5">
        <v>389</v>
      </c>
      <c r="Q9" s="5"/>
      <c r="R9" s="5">
        <v>148</v>
      </c>
      <c r="S9" s="5">
        <v>355</v>
      </c>
      <c r="T9" s="5"/>
      <c r="U9" s="5">
        <v>41</v>
      </c>
      <c r="V9" s="5"/>
      <c r="W9" s="5"/>
      <c r="X9" s="5">
        <v>47</v>
      </c>
      <c r="Y9" s="5"/>
      <c r="Z9" s="5"/>
    </row>
    <row r="10" spans="1:26" x14ac:dyDescent="0.35">
      <c r="A10" s="18" t="s">
        <v>365</v>
      </c>
      <c r="B10" s="14" t="s">
        <v>361</v>
      </c>
      <c r="C10" s="4" t="s">
        <v>362</v>
      </c>
      <c r="D10" s="4" t="s">
        <v>363</v>
      </c>
      <c r="E10" s="5" t="s">
        <v>331</v>
      </c>
      <c r="F10" s="5" t="s">
        <v>366</v>
      </c>
      <c r="G10" s="4" t="s">
        <v>303</v>
      </c>
      <c r="H10" s="4" t="s">
        <v>373</v>
      </c>
      <c r="I10" s="5">
        <v>42</v>
      </c>
      <c r="J10" s="5"/>
      <c r="K10" s="5">
        <v>162</v>
      </c>
      <c r="L10" s="5">
        <v>103</v>
      </c>
      <c r="M10" s="5"/>
      <c r="N10" s="5">
        <v>52</v>
      </c>
      <c r="O10" s="5"/>
      <c r="P10" s="5"/>
      <c r="Q10" s="5"/>
      <c r="R10" s="5">
        <v>154</v>
      </c>
      <c r="S10" s="5">
        <v>335</v>
      </c>
      <c r="T10" s="5"/>
      <c r="U10" s="5">
        <v>53</v>
      </c>
      <c r="V10" s="5"/>
      <c r="W10" s="5">
        <v>161</v>
      </c>
      <c r="X10" s="5"/>
      <c r="Y10" s="5"/>
      <c r="Z10" s="5"/>
    </row>
    <row r="11" spans="1:26" x14ac:dyDescent="0.35">
      <c r="A11" s="15" t="s">
        <v>374</v>
      </c>
      <c r="B11" s="21" t="s">
        <v>375</v>
      </c>
      <c r="C11" s="16" t="s">
        <v>376</v>
      </c>
      <c r="D11" s="16" t="s">
        <v>377</v>
      </c>
      <c r="E11" s="17" t="s">
        <v>378</v>
      </c>
      <c r="F11" s="17" t="s">
        <v>312</v>
      </c>
      <c r="G11" s="16" t="s">
        <v>302</v>
      </c>
      <c r="H11" s="16"/>
      <c r="I11" s="17">
        <v>50</v>
      </c>
      <c r="J11" s="17"/>
      <c r="K11" s="17"/>
      <c r="L11" s="17">
        <v>112</v>
      </c>
      <c r="M11" s="17"/>
      <c r="N11" s="17"/>
      <c r="O11" s="17"/>
      <c r="P11" s="17"/>
      <c r="Q11" s="17">
        <v>209</v>
      </c>
      <c r="R11" s="17"/>
      <c r="S11" s="17"/>
      <c r="T11" s="17"/>
      <c r="U11" s="17">
        <v>73</v>
      </c>
      <c r="V11" s="17"/>
      <c r="W11" s="17"/>
      <c r="X11" s="17"/>
      <c r="Y11" s="17"/>
      <c r="Z11" s="17"/>
    </row>
    <row r="12" spans="1:26" x14ac:dyDescent="0.35">
      <c r="A12" s="18" t="s">
        <v>374</v>
      </c>
      <c r="B12" s="11" t="s">
        <v>379</v>
      </c>
      <c r="C12" s="4" t="s">
        <v>380</v>
      </c>
      <c r="D12" s="4" t="s">
        <v>381</v>
      </c>
      <c r="E12" s="5" t="s">
        <v>382</v>
      </c>
      <c r="F12" s="5" t="s">
        <v>312</v>
      </c>
      <c r="G12" s="4" t="s">
        <v>302</v>
      </c>
      <c r="H12" s="4"/>
      <c r="I12" s="5">
        <v>48</v>
      </c>
      <c r="J12" s="5"/>
      <c r="K12" s="5">
        <v>173</v>
      </c>
      <c r="L12" s="5">
        <v>125</v>
      </c>
      <c r="M12" s="5"/>
      <c r="N12" s="5"/>
      <c r="O12" s="5"/>
      <c r="P12" s="5"/>
      <c r="Q12" s="5">
        <v>207</v>
      </c>
      <c r="R12" s="5"/>
      <c r="S12" s="5"/>
      <c r="T12" s="5"/>
      <c r="U12" s="5">
        <v>71</v>
      </c>
      <c r="V12" s="5"/>
      <c r="W12" s="5">
        <v>180</v>
      </c>
      <c r="X12" s="5"/>
      <c r="Y12" s="5"/>
      <c r="Z12" s="5"/>
    </row>
    <row r="13" spans="1:26" x14ac:dyDescent="0.35">
      <c r="A13" s="23" t="s">
        <v>389</v>
      </c>
      <c r="B13" s="11" t="s">
        <v>396</v>
      </c>
      <c r="C13" s="4" t="s">
        <v>397</v>
      </c>
      <c r="D13" s="4" t="s">
        <v>398</v>
      </c>
      <c r="E13" s="5" t="s">
        <v>394</v>
      </c>
      <c r="F13" s="5" t="s">
        <v>399</v>
      </c>
      <c r="G13" s="4" t="s">
        <v>303</v>
      </c>
      <c r="H13" s="4" t="s">
        <v>388</v>
      </c>
      <c r="I13" s="5">
        <v>176</v>
      </c>
      <c r="J13" s="5"/>
      <c r="K13" s="5">
        <v>275</v>
      </c>
      <c r="L13" s="5">
        <v>265</v>
      </c>
      <c r="M13" s="5"/>
      <c r="N13" s="5"/>
      <c r="O13" s="5"/>
      <c r="P13" s="5"/>
      <c r="Q13" s="5"/>
      <c r="R13" s="5">
        <v>221</v>
      </c>
      <c r="S13" s="5"/>
      <c r="T13" s="5"/>
      <c r="U13" s="5"/>
      <c r="V13" s="5"/>
      <c r="W13" s="5"/>
      <c r="X13" s="5"/>
      <c r="Y13" s="5"/>
      <c r="Z13" s="5"/>
    </row>
    <row r="14" spans="1:26" x14ac:dyDescent="0.35">
      <c r="A14" s="22" t="s">
        <v>400</v>
      </c>
      <c r="B14" s="21" t="s">
        <v>401</v>
      </c>
      <c r="C14" s="16" t="s">
        <v>402</v>
      </c>
      <c r="D14" s="16" t="s">
        <v>403</v>
      </c>
      <c r="E14" s="17" t="s">
        <v>404</v>
      </c>
      <c r="F14" s="17" t="s">
        <v>390</v>
      </c>
      <c r="G14" s="16" t="s">
        <v>302</v>
      </c>
      <c r="H14" s="16"/>
      <c r="I14" s="17">
        <v>60</v>
      </c>
      <c r="J14" s="17"/>
      <c r="K14" s="17"/>
      <c r="L14" s="17"/>
      <c r="M14" s="17"/>
      <c r="N14" s="17"/>
      <c r="O14" s="17"/>
      <c r="P14" s="17"/>
      <c r="Q14" s="17"/>
      <c r="R14" s="17"/>
      <c r="S14" s="17"/>
      <c r="T14" s="17"/>
      <c r="U14" s="17"/>
      <c r="V14" s="17"/>
      <c r="W14" s="17">
        <v>183</v>
      </c>
      <c r="X14" s="17"/>
      <c r="Y14" s="17"/>
      <c r="Z14" s="17">
        <v>30</v>
      </c>
    </row>
    <row r="15" spans="1:26" x14ac:dyDescent="0.35">
      <c r="A15" s="23" t="s">
        <v>413</v>
      </c>
      <c r="B15" s="11" t="s">
        <v>328</v>
      </c>
      <c r="C15" s="4" t="s">
        <v>329</v>
      </c>
      <c r="D15" s="4" t="s">
        <v>330</v>
      </c>
      <c r="E15" s="5" t="s">
        <v>415</v>
      </c>
      <c r="F15" s="5" t="s">
        <v>367</v>
      </c>
      <c r="G15" s="4" t="s">
        <v>303</v>
      </c>
      <c r="H15" s="4" t="s">
        <v>416</v>
      </c>
      <c r="I15" s="5">
        <v>24</v>
      </c>
      <c r="J15" s="5"/>
      <c r="K15" s="5"/>
      <c r="L15" s="5"/>
      <c r="M15" s="5">
        <v>722</v>
      </c>
      <c r="N15" s="5">
        <v>72</v>
      </c>
      <c r="O15" s="5"/>
      <c r="P15" s="5">
        <v>402</v>
      </c>
      <c r="Q15" s="5">
        <v>167</v>
      </c>
      <c r="R15" s="5">
        <v>224</v>
      </c>
      <c r="S15" s="5">
        <v>383</v>
      </c>
      <c r="T15" s="5"/>
      <c r="U15" s="5">
        <v>86</v>
      </c>
      <c r="V15" s="5"/>
      <c r="W15" s="5">
        <v>188</v>
      </c>
      <c r="X15" s="5">
        <v>86</v>
      </c>
      <c r="Y15" s="5"/>
      <c r="Z15" s="5"/>
    </row>
    <row r="16" spans="1:26" ht="25" x14ac:dyDescent="0.35">
      <c r="A16" s="23" t="s">
        <v>425</v>
      </c>
      <c r="B16" s="11" t="s">
        <v>426</v>
      </c>
      <c r="C16" s="4" t="s">
        <v>427</v>
      </c>
      <c r="D16" s="4" t="s">
        <v>428</v>
      </c>
      <c r="E16" s="5" t="s">
        <v>323</v>
      </c>
      <c r="F16" s="5" t="s">
        <v>429</v>
      </c>
      <c r="G16" s="4" t="s">
        <v>303</v>
      </c>
      <c r="H16" s="4" t="s">
        <v>430</v>
      </c>
      <c r="I16" s="5">
        <v>245</v>
      </c>
      <c r="J16" s="5"/>
      <c r="K16" s="5"/>
      <c r="L16" s="5">
        <v>383</v>
      </c>
      <c r="M16" s="5"/>
      <c r="N16" s="5">
        <v>358</v>
      </c>
      <c r="O16" s="5"/>
      <c r="P16" s="5">
        <v>557</v>
      </c>
      <c r="Q16" s="5"/>
      <c r="R16" s="5">
        <v>207</v>
      </c>
      <c r="S16" s="5">
        <v>698</v>
      </c>
      <c r="T16" s="5"/>
      <c r="U16" s="5">
        <v>395</v>
      </c>
      <c r="V16" s="5"/>
      <c r="W16" s="5">
        <v>187</v>
      </c>
      <c r="X16" s="5"/>
      <c r="Y16" s="5"/>
      <c r="Z16" s="5"/>
    </row>
    <row r="17" spans="1:26" x14ac:dyDescent="0.35">
      <c r="A17" s="23" t="s">
        <v>438</v>
      </c>
      <c r="B17" s="11" t="s">
        <v>442</v>
      </c>
      <c r="C17" s="4" t="s">
        <v>443</v>
      </c>
      <c r="D17" s="4" t="s">
        <v>444</v>
      </c>
      <c r="E17" s="5" t="s">
        <v>445</v>
      </c>
      <c r="F17" s="5" t="s">
        <v>331</v>
      </c>
      <c r="G17" s="4" t="s">
        <v>302</v>
      </c>
      <c r="H17" s="4"/>
      <c r="I17" s="5">
        <v>276</v>
      </c>
      <c r="J17" s="5"/>
      <c r="K17" s="5"/>
      <c r="L17" s="5"/>
      <c r="M17" s="5"/>
      <c r="N17" s="5"/>
      <c r="O17" s="5"/>
      <c r="P17" s="5"/>
      <c r="Q17" s="5"/>
      <c r="R17" s="5"/>
      <c r="S17" s="5"/>
      <c r="T17" s="5"/>
      <c r="U17" s="5"/>
      <c r="V17" s="5"/>
      <c r="W17" s="5"/>
      <c r="X17" s="5"/>
      <c r="Y17" s="5"/>
      <c r="Z17" s="5"/>
    </row>
    <row r="18" spans="1:26" x14ac:dyDescent="0.35">
      <c r="A18" s="23" t="s">
        <v>446</v>
      </c>
      <c r="B18" s="11" t="s">
        <v>451</v>
      </c>
      <c r="C18" s="4" t="s">
        <v>452</v>
      </c>
      <c r="D18" s="4" t="s">
        <v>453</v>
      </c>
      <c r="E18" s="5" t="s">
        <v>342</v>
      </c>
      <c r="F18" s="5" t="s">
        <v>371</v>
      </c>
      <c r="G18" s="4" t="s">
        <v>303</v>
      </c>
      <c r="H18" s="4" t="s">
        <v>454</v>
      </c>
      <c r="I18" s="5">
        <v>278</v>
      </c>
      <c r="J18" s="5"/>
      <c r="K18" s="5">
        <v>333</v>
      </c>
      <c r="L18" s="5">
        <v>409</v>
      </c>
      <c r="M18" s="5"/>
      <c r="N18" s="5">
        <v>381</v>
      </c>
      <c r="O18" s="5"/>
      <c r="P18" s="5">
        <v>685</v>
      </c>
      <c r="Q18" s="5"/>
      <c r="R18" s="5">
        <v>236</v>
      </c>
      <c r="S18" s="5">
        <v>704</v>
      </c>
      <c r="T18" s="5"/>
      <c r="U18" s="5">
        <v>452</v>
      </c>
      <c r="V18" s="5"/>
      <c r="W18" s="5"/>
      <c r="X18" s="5">
        <v>487</v>
      </c>
      <c r="Y18" s="5"/>
      <c r="Z18" s="5"/>
    </row>
    <row r="19" spans="1:26" ht="25" x14ac:dyDescent="0.35">
      <c r="A19" s="23" t="s">
        <v>455</v>
      </c>
      <c r="B19" s="11" t="s">
        <v>456</v>
      </c>
      <c r="C19" s="4" t="s">
        <v>457</v>
      </c>
      <c r="D19" s="4" t="s">
        <v>458</v>
      </c>
      <c r="E19" s="5" t="s">
        <v>323</v>
      </c>
      <c r="F19" s="5" t="s">
        <v>459</v>
      </c>
      <c r="G19" s="4" t="s">
        <v>303</v>
      </c>
      <c r="H19" s="4" t="s">
        <v>460</v>
      </c>
      <c r="I19" s="5">
        <v>167</v>
      </c>
      <c r="J19" s="5"/>
      <c r="K19" s="5">
        <v>279</v>
      </c>
      <c r="L19" s="5">
        <v>258</v>
      </c>
      <c r="M19" s="5">
        <v>786</v>
      </c>
      <c r="N19" s="5">
        <v>301</v>
      </c>
      <c r="O19" s="5"/>
      <c r="P19" s="5">
        <v>659</v>
      </c>
      <c r="Q19" s="5">
        <v>84</v>
      </c>
      <c r="R19" s="5">
        <v>439</v>
      </c>
      <c r="S19" s="5"/>
      <c r="T19" s="5"/>
      <c r="U19" s="5"/>
      <c r="V19" s="5"/>
      <c r="W19" s="5">
        <v>193</v>
      </c>
      <c r="X19" s="5">
        <v>366</v>
      </c>
      <c r="Y19" s="5"/>
      <c r="Z19" s="5"/>
    </row>
    <row r="20" spans="1:26" x14ac:dyDescent="0.35">
      <c r="A20" s="18" t="s">
        <v>461</v>
      </c>
      <c r="B20" s="14" t="s">
        <v>463</v>
      </c>
      <c r="C20" s="4" t="s">
        <v>464</v>
      </c>
      <c r="D20" s="4" t="s">
        <v>465</v>
      </c>
      <c r="E20" s="5" t="s">
        <v>462</v>
      </c>
      <c r="F20" s="5" t="s">
        <v>360</v>
      </c>
      <c r="G20" s="4" t="s">
        <v>302</v>
      </c>
      <c r="H20" s="4"/>
      <c r="I20" s="5"/>
      <c r="J20" s="5"/>
      <c r="K20" s="5"/>
      <c r="L20" s="5"/>
      <c r="M20" s="5"/>
      <c r="N20" s="5"/>
      <c r="O20" s="5"/>
      <c r="P20" s="5"/>
      <c r="Q20" s="5"/>
      <c r="R20" s="5"/>
      <c r="S20" s="5"/>
      <c r="T20" s="5"/>
      <c r="U20" s="5"/>
      <c r="V20" s="5"/>
      <c r="W20" s="5" t="s">
        <v>656</v>
      </c>
      <c r="X20" s="5"/>
      <c r="Y20" s="5"/>
      <c r="Z20" s="5"/>
    </row>
    <row r="21" spans="1:26" x14ac:dyDescent="0.35">
      <c r="A21" s="18" t="s">
        <v>468</v>
      </c>
      <c r="B21" s="14" t="s">
        <v>470</v>
      </c>
      <c r="C21" s="4" t="s">
        <v>471</v>
      </c>
      <c r="D21" s="4" t="s">
        <v>472</v>
      </c>
      <c r="E21" s="5" t="s">
        <v>469</v>
      </c>
      <c r="F21" s="5" t="s">
        <v>331</v>
      </c>
      <c r="G21" s="4" t="s">
        <v>302</v>
      </c>
      <c r="H21" s="4"/>
      <c r="I21" s="5">
        <v>70</v>
      </c>
      <c r="J21" s="5"/>
      <c r="K21" s="5">
        <v>207</v>
      </c>
      <c r="L21" s="5">
        <v>177</v>
      </c>
      <c r="M21" s="5"/>
      <c r="N21" s="5">
        <v>108</v>
      </c>
      <c r="O21" s="5"/>
      <c r="P21" s="5"/>
      <c r="Q21" s="5"/>
      <c r="R21" s="5">
        <v>337</v>
      </c>
      <c r="S21" s="5"/>
      <c r="T21" s="5"/>
      <c r="U21" s="5"/>
      <c r="V21" s="5"/>
      <c r="W21" s="5">
        <v>211</v>
      </c>
      <c r="X21" s="5"/>
      <c r="Y21" s="5"/>
      <c r="Z21" s="5"/>
    </row>
    <row r="22" spans="1:26" ht="26" x14ac:dyDescent="0.35">
      <c r="A22" s="20" t="s">
        <v>486</v>
      </c>
      <c r="B22" s="11" t="s">
        <v>487</v>
      </c>
      <c r="C22" s="4" t="s">
        <v>488</v>
      </c>
      <c r="D22" s="4" t="s">
        <v>489</v>
      </c>
      <c r="E22" s="5" t="s">
        <v>490</v>
      </c>
      <c r="F22" s="5" t="s">
        <v>360</v>
      </c>
      <c r="G22" s="4" t="s">
        <v>302</v>
      </c>
      <c r="H22" s="4"/>
      <c r="I22" s="5">
        <v>110</v>
      </c>
      <c r="J22" s="5"/>
      <c r="K22" s="5"/>
      <c r="L22" s="5"/>
      <c r="M22" s="5"/>
      <c r="N22" s="5"/>
      <c r="O22" s="5"/>
      <c r="P22" s="5"/>
      <c r="Q22" s="5"/>
      <c r="R22" s="5"/>
      <c r="S22" s="5"/>
      <c r="T22" s="5"/>
      <c r="U22" s="5"/>
      <c r="V22" s="5"/>
      <c r="W22" s="5">
        <v>226</v>
      </c>
      <c r="X22" s="5"/>
      <c r="Y22" s="5"/>
      <c r="Z22" s="5"/>
    </row>
    <row r="23" spans="1:26" x14ac:dyDescent="0.35">
      <c r="A23" s="15" t="s">
        <v>498</v>
      </c>
      <c r="B23" s="21" t="s">
        <v>499</v>
      </c>
      <c r="C23" s="16" t="s">
        <v>500</v>
      </c>
      <c r="D23" s="16" t="s">
        <v>913</v>
      </c>
      <c r="E23" s="17" t="s">
        <v>501</v>
      </c>
      <c r="F23" s="17" t="s">
        <v>502</v>
      </c>
      <c r="G23" s="16" t="s">
        <v>302</v>
      </c>
      <c r="H23" s="16" t="s">
        <v>414</v>
      </c>
      <c r="I23" s="17"/>
      <c r="J23" s="17"/>
      <c r="K23" s="17"/>
      <c r="L23" s="17"/>
      <c r="M23" s="17"/>
      <c r="N23" s="17"/>
      <c r="O23" s="17"/>
      <c r="P23" s="17"/>
      <c r="Q23" s="17">
        <v>345</v>
      </c>
      <c r="R23" s="17">
        <v>368</v>
      </c>
      <c r="S23" s="17"/>
      <c r="T23" s="17"/>
      <c r="U23" s="17"/>
      <c r="V23" s="17"/>
      <c r="W23" s="17"/>
      <c r="X23" s="17"/>
      <c r="Y23" s="17"/>
      <c r="Z23" s="17"/>
    </row>
    <row r="24" spans="1:26" x14ac:dyDescent="0.35">
      <c r="A24" s="18" t="s">
        <v>498</v>
      </c>
      <c r="B24" s="11" t="s">
        <v>503</v>
      </c>
      <c r="C24" s="4" t="s">
        <v>504</v>
      </c>
      <c r="D24" s="4" t="s">
        <v>505</v>
      </c>
      <c r="E24" s="5" t="s">
        <v>473</v>
      </c>
      <c r="F24" s="5" t="s">
        <v>447</v>
      </c>
      <c r="G24" s="4" t="s">
        <v>303</v>
      </c>
      <c r="H24" s="4" t="s">
        <v>506</v>
      </c>
      <c r="I24" s="5">
        <v>455</v>
      </c>
      <c r="J24" s="5"/>
      <c r="K24" s="5">
        <v>276</v>
      </c>
      <c r="L24" s="5">
        <v>263</v>
      </c>
      <c r="M24" s="5"/>
      <c r="N24" s="5">
        <v>300</v>
      </c>
      <c r="O24" s="5"/>
      <c r="P24" s="5">
        <v>666</v>
      </c>
      <c r="Q24" s="5">
        <v>85</v>
      </c>
      <c r="R24" s="5">
        <v>375</v>
      </c>
      <c r="S24" s="5"/>
      <c r="T24" s="5"/>
      <c r="U24" s="5"/>
      <c r="V24" s="5"/>
      <c r="W24" s="5"/>
      <c r="X24" s="5">
        <v>361</v>
      </c>
      <c r="Y24" s="5"/>
      <c r="Z24" s="5"/>
    </row>
    <row r="25" spans="1:26" ht="25" x14ac:dyDescent="0.35">
      <c r="A25" s="18" t="s">
        <v>507</v>
      </c>
      <c r="B25" s="11" t="s">
        <v>508</v>
      </c>
      <c r="C25" s="4" t="s">
        <v>509</v>
      </c>
      <c r="D25" s="4" t="s">
        <v>510</v>
      </c>
      <c r="E25" s="5" t="s">
        <v>511</v>
      </c>
      <c r="F25" s="5" t="s">
        <v>431</v>
      </c>
      <c r="G25" s="4" t="s">
        <v>303</v>
      </c>
      <c r="H25" s="4" t="s">
        <v>512</v>
      </c>
      <c r="I25" s="5"/>
      <c r="J25" s="5"/>
      <c r="K25" s="5"/>
      <c r="L25" s="5"/>
      <c r="M25" s="5">
        <v>734</v>
      </c>
      <c r="N25" s="5">
        <v>134</v>
      </c>
      <c r="O25" s="5"/>
      <c r="P25" s="5">
        <v>483</v>
      </c>
      <c r="Q25" s="5"/>
      <c r="R25" s="5"/>
      <c r="S25" s="5">
        <v>467</v>
      </c>
      <c r="T25" s="5"/>
      <c r="U25" s="5">
        <v>168</v>
      </c>
      <c r="V25" s="5"/>
      <c r="W25" s="5"/>
      <c r="X25" s="5">
        <v>140</v>
      </c>
      <c r="Y25" s="5"/>
      <c r="Z25" s="5"/>
    </row>
    <row r="26" spans="1:26" x14ac:dyDescent="0.35">
      <c r="A26" s="23" t="s">
        <v>518</v>
      </c>
      <c r="B26" s="11" t="s">
        <v>519</v>
      </c>
      <c r="C26" s="4" t="s">
        <v>520</v>
      </c>
      <c r="D26" s="4" t="s">
        <v>521</v>
      </c>
      <c r="E26" s="5" t="s">
        <v>511</v>
      </c>
      <c r="F26" s="5" t="s">
        <v>366</v>
      </c>
      <c r="G26" s="4" t="s">
        <v>303</v>
      </c>
      <c r="H26" s="4" t="s">
        <v>522</v>
      </c>
      <c r="I26" s="5">
        <v>123</v>
      </c>
      <c r="J26" s="5"/>
      <c r="K26" s="5">
        <v>239</v>
      </c>
      <c r="L26" s="5">
        <v>223</v>
      </c>
      <c r="M26" s="5"/>
      <c r="N26" s="5"/>
      <c r="O26" s="5"/>
      <c r="P26" s="5"/>
      <c r="Q26" s="5"/>
      <c r="R26" s="5">
        <v>394</v>
      </c>
      <c r="S26" s="5">
        <v>475</v>
      </c>
      <c r="T26" s="5"/>
      <c r="U26" s="5"/>
      <c r="V26" s="5"/>
      <c r="W26" s="5">
        <v>229</v>
      </c>
      <c r="X26" s="5"/>
      <c r="Y26" s="5"/>
      <c r="Z26" s="5"/>
    </row>
    <row r="27" spans="1:26" x14ac:dyDescent="0.35">
      <c r="A27" s="23" t="s">
        <v>524</v>
      </c>
      <c r="B27" s="11" t="s">
        <v>439</v>
      </c>
      <c r="C27" s="4" t="s">
        <v>440</v>
      </c>
      <c r="D27" s="4" t="s">
        <v>441</v>
      </c>
      <c r="E27" s="5" t="s">
        <v>525</v>
      </c>
      <c r="F27" s="5" t="s">
        <v>502</v>
      </c>
      <c r="G27" s="4" t="s">
        <v>302</v>
      </c>
      <c r="H27" s="4" t="s">
        <v>414</v>
      </c>
      <c r="I27" s="5">
        <v>170</v>
      </c>
      <c r="J27" s="5"/>
      <c r="K27" s="5">
        <v>277</v>
      </c>
      <c r="L27" s="5"/>
      <c r="M27" s="5"/>
      <c r="N27" s="5"/>
      <c r="O27" s="5"/>
      <c r="P27" s="5"/>
      <c r="Q27" s="5"/>
      <c r="R27" s="5"/>
      <c r="S27" s="5"/>
      <c r="T27" s="5"/>
      <c r="U27" s="5"/>
      <c r="V27" s="5"/>
      <c r="W27" s="5">
        <v>250</v>
      </c>
      <c r="X27" s="5"/>
      <c r="Y27" s="5"/>
      <c r="Z27" s="5"/>
    </row>
    <row r="28" spans="1:26" ht="25" x14ac:dyDescent="0.35">
      <c r="A28" s="23" t="s">
        <v>526</v>
      </c>
      <c r="B28" s="11" t="s">
        <v>532</v>
      </c>
      <c r="C28" s="4" t="s">
        <v>533</v>
      </c>
      <c r="D28" s="4" t="s">
        <v>534</v>
      </c>
      <c r="E28" s="5" t="s">
        <v>523</v>
      </c>
      <c r="F28" s="5" t="s">
        <v>395</v>
      </c>
      <c r="G28" s="4" t="s">
        <v>303</v>
      </c>
      <c r="H28" s="4" t="s">
        <v>535</v>
      </c>
      <c r="I28" s="5"/>
      <c r="J28" s="5"/>
      <c r="K28" s="5">
        <v>416</v>
      </c>
      <c r="L28" s="5">
        <v>326</v>
      </c>
      <c r="M28" s="5"/>
      <c r="N28" s="5">
        <v>233</v>
      </c>
      <c r="O28" s="5"/>
      <c r="P28" s="5">
        <v>608</v>
      </c>
      <c r="Q28" s="5">
        <v>497</v>
      </c>
      <c r="R28" s="5">
        <v>450</v>
      </c>
      <c r="S28" s="5">
        <v>653</v>
      </c>
      <c r="T28" s="5"/>
      <c r="U28" s="5">
        <v>302</v>
      </c>
      <c r="V28" s="5"/>
      <c r="W28" s="5"/>
      <c r="X28" s="5"/>
      <c r="Y28" s="5"/>
      <c r="Z28" s="5"/>
    </row>
    <row r="29" spans="1:26" x14ac:dyDescent="0.35">
      <c r="A29" s="23" t="s">
        <v>536</v>
      </c>
      <c r="B29" s="11" t="s">
        <v>538</v>
      </c>
      <c r="C29" s="4" t="s">
        <v>539</v>
      </c>
      <c r="D29" s="4" t="s">
        <v>540</v>
      </c>
      <c r="E29" s="5" t="s">
        <v>537</v>
      </c>
      <c r="F29" s="5" t="s">
        <v>364</v>
      </c>
      <c r="G29" s="4" t="s">
        <v>303</v>
      </c>
      <c r="H29" s="4" t="s">
        <v>326</v>
      </c>
      <c r="I29" s="5">
        <v>354</v>
      </c>
      <c r="J29" s="5"/>
      <c r="K29" s="5">
        <v>508</v>
      </c>
      <c r="L29" s="5">
        <v>526</v>
      </c>
      <c r="M29" s="5"/>
      <c r="N29" s="5">
        <v>421</v>
      </c>
      <c r="O29" s="5"/>
      <c r="P29" s="5">
        <v>745</v>
      </c>
      <c r="Q29" s="5"/>
      <c r="R29" s="5">
        <v>467</v>
      </c>
      <c r="S29" s="5"/>
      <c r="T29" s="5"/>
      <c r="U29" s="5">
        <v>438</v>
      </c>
      <c r="V29" s="5"/>
      <c r="W29" s="5">
        <v>288</v>
      </c>
      <c r="X29" s="5"/>
      <c r="Y29" s="5"/>
      <c r="Z29" s="5"/>
    </row>
    <row r="30" spans="1:26" ht="25" x14ac:dyDescent="0.35">
      <c r="A30" s="20" t="s">
        <v>541</v>
      </c>
      <c r="B30" s="11" t="s">
        <v>542</v>
      </c>
      <c r="C30" s="4" t="s">
        <v>543</v>
      </c>
      <c r="D30" s="4" t="s">
        <v>544</v>
      </c>
      <c r="E30" s="5" t="s">
        <v>545</v>
      </c>
      <c r="F30" s="5" t="s">
        <v>546</v>
      </c>
      <c r="G30" s="4" t="s">
        <v>303</v>
      </c>
      <c r="H30" s="4" t="s">
        <v>547</v>
      </c>
      <c r="I30" s="5">
        <v>280</v>
      </c>
      <c r="J30" s="5"/>
      <c r="K30" s="5">
        <v>334</v>
      </c>
      <c r="L30" s="5">
        <v>421</v>
      </c>
      <c r="M30" s="5"/>
      <c r="N30" s="5">
        <v>379</v>
      </c>
      <c r="O30" s="5"/>
      <c r="P30" s="5">
        <v>688</v>
      </c>
      <c r="Q30" s="5"/>
      <c r="R30" s="5">
        <v>422</v>
      </c>
      <c r="S30" s="5">
        <v>702</v>
      </c>
      <c r="T30" s="5"/>
      <c r="U30" s="5">
        <v>453</v>
      </c>
      <c r="V30" s="5"/>
      <c r="W30" s="5"/>
      <c r="X30" s="5">
        <v>455</v>
      </c>
      <c r="Y30" s="5"/>
      <c r="Z30" s="5"/>
    </row>
    <row r="31" spans="1:26" x14ac:dyDescent="0.35">
      <c r="A31" s="18" t="s">
        <v>541</v>
      </c>
      <c r="B31" s="11" t="s">
        <v>548</v>
      </c>
      <c r="C31" s="4" t="s">
        <v>549</v>
      </c>
      <c r="D31" s="4" t="s">
        <v>550</v>
      </c>
      <c r="E31" s="5" t="s">
        <v>551</v>
      </c>
      <c r="F31" s="5" t="s">
        <v>364</v>
      </c>
      <c r="G31" s="4" t="s">
        <v>303</v>
      </c>
      <c r="H31" s="4" t="s">
        <v>517</v>
      </c>
      <c r="I31" s="5">
        <v>382</v>
      </c>
      <c r="J31" s="5"/>
      <c r="K31" s="5">
        <v>498</v>
      </c>
      <c r="L31" s="5">
        <v>518</v>
      </c>
      <c r="M31" s="5"/>
      <c r="N31" s="5">
        <v>420</v>
      </c>
      <c r="O31" s="5"/>
      <c r="P31" s="5">
        <v>750</v>
      </c>
      <c r="Q31" s="5">
        <v>230</v>
      </c>
      <c r="R31" s="5">
        <v>205</v>
      </c>
      <c r="S31" s="5"/>
      <c r="T31" s="5"/>
      <c r="U31" s="5">
        <v>444</v>
      </c>
      <c r="V31" s="5"/>
      <c r="W31" s="5">
        <v>284</v>
      </c>
      <c r="X31" s="5">
        <v>453</v>
      </c>
      <c r="Y31" s="5"/>
      <c r="Z31" s="5"/>
    </row>
    <row r="32" spans="1:26" x14ac:dyDescent="0.35">
      <c r="A32" s="18" t="s">
        <v>553</v>
      </c>
      <c r="B32" s="14" t="s">
        <v>554</v>
      </c>
      <c r="C32" s="4" t="s">
        <v>555</v>
      </c>
      <c r="D32" s="4" t="s">
        <v>556</v>
      </c>
      <c r="E32" s="5" t="s">
        <v>537</v>
      </c>
      <c r="F32" s="5" t="s">
        <v>364</v>
      </c>
      <c r="G32" s="4" t="s">
        <v>303</v>
      </c>
      <c r="H32" s="4" t="s">
        <v>557</v>
      </c>
      <c r="I32" s="5">
        <v>194</v>
      </c>
      <c r="J32" s="5"/>
      <c r="K32" s="5"/>
      <c r="L32" s="5">
        <v>312</v>
      </c>
      <c r="M32" s="5"/>
      <c r="N32" s="5">
        <v>248</v>
      </c>
      <c r="O32" s="5"/>
      <c r="P32" s="5">
        <v>625</v>
      </c>
      <c r="Q32" s="5"/>
      <c r="R32" s="5">
        <v>322</v>
      </c>
      <c r="S32" s="5"/>
      <c r="T32" s="5"/>
      <c r="U32" s="5"/>
      <c r="V32" s="5"/>
      <c r="W32" s="5"/>
      <c r="X32" s="5"/>
      <c r="Y32" s="5"/>
      <c r="Z32" s="5"/>
    </row>
    <row r="33" spans="1:26" x14ac:dyDescent="0.35">
      <c r="A33" s="23" t="s">
        <v>558</v>
      </c>
      <c r="B33" s="11" t="s">
        <v>560</v>
      </c>
      <c r="C33" s="4" t="s">
        <v>561</v>
      </c>
      <c r="D33" s="4" t="s">
        <v>562</v>
      </c>
      <c r="E33" s="5" t="s">
        <v>559</v>
      </c>
      <c r="F33" s="5" t="s">
        <v>367</v>
      </c>
      <c r="G33" s="4" t="s">
        <v>303</v>
      </c>
      <c r="H33" s="4" t="s">
        <v>478</v>
      </c>
      <c r="I33" s="5">
        <v>141</v>
      </c>
      <c r="J33" s="5"/>
      <c r="K33" s="5">
        <v>252</v>
      </c>
      <c r="L33" s="5">
        <v>228</v>
      </c>
      <c r="M33" s="5"/>
      <c r="N33" s="5"/>
      <c r="O33" s="5"/>
      <c r="P33" s="5"/>
      <c r="Q33" s="5">
        <v>266</v>
      </c>
      <c r="R33" s="5">
        <v>400</v>
      </c>
      <c r="S33" s="5"/>
      <c r="T33" s="5"/>
      <c r="U33" s="5"/>
      <c r="V33" s="5"/>
      <c r="W33" s="5">
        <v>234</v>
      </c>
      <c r="X33" s="5"/>
      <c r="Y33" s="5"/>
      <c r="Z33" s="5"/>
    </row>
    <row r="34" spans="1:26" ht="25" x14ac:dyDescent="0.35">
      <c r="A34" s="18" t="s">
        <v>563</v>
      </c>
      <c r="B34" s="14" t="s">
        <v>564</v>
      </c>
      <c r="C34" s="4" t="s">
        <v>565</v>
      </c>
      <c r="D34" s="4" t="s">
        <v>566</v>
      </c>
      <c r="E34" s="5" t="s">
        <v>567</v>
      </c>
      <c r="F34" s="5" t="s">
        <v>371</v>
      </c>
      <c r="G34" s="4" t="s">
        <v>303</v>
      </c>
      <c r="H34" s="4" t="s">
        <v>568</v>
      </c>
      <c r="I34" s="5">
        <v>285</v>
      </c>
      <c r="J34" s="5"/>
      <c r="K34" s="5">
        <v>385</v>
      </c>
      <c r="L34" s="5">
        <v>430</v>
      </c>
      <c r="M34" s="5"/>
      <c r="N34" s="5">
        <v>418</v>
      </c>
      <c r="O34" s="5"/>
      <c r="P34" s="5">
        <v>730</v>
      </c>
      <c r="Q34" s="5"/>
      <c r="R34" s="5">
        <v>446</v>
      </c>
      <c r="S34" s="5">
        <v>717</v>
      </c>
      <c r="T34" s="5"/>
      <c r="U34" s="5">
        <v>477</v>
      </c>
      <c r="V34" s="5"/>
      <c r="W34" s="5">
        <v>285</v>
      </c>
      <c r="X34" s="5"/>
      <c r="Y34" s="5"/>
      <c r="Z34" s="5"/>
    </row>
    <row r="35" spans="1:26" x14ac:dyDescent="0.35">
      <c r="A35" s="23" t="s">
        <v>570</v>
      </c>
      <c r="B35" s="11" t="s">
        <v>528</v>
      </c>
      <c r="C35" s="4" t="s">
        <v>529</v>
      </c>
      <c r="D35" s="4" t="s">
        <v>530</v>
      </c>
      <c r="E35" s="5" t="s">
        <v>571</v>
      </c>
      <c r="F35" s="5" t="s">
        <v>390</v>
      </c>
      <c r="G35" s="4" t="s">
        <v>302</v>
      </c>
      <c r="H35" s="4"/>
      <c r="I35" s="5">
        <v>213</v>
      </c>
      <c r="J35" s="5"/>
      <c r="K35" s="5">
        <v>413</v>
      </c>
      <c r="L35" s="5">
        <v>319</v>
      </c>
      <c r="M35" s="5"/>
      <c r="N35" s="5">
        <v>357</v>
      </c>
      <c r="O35" s="5"/>
      <c r="P35" s="5">
        <v>972</v>
      </c>
      <c r="Q35" s="5">
        <v>96</v>
      </c>
      <c r="R35" s="5">
        <v>415</v>
      </c>
      <c r="S35" s="5"/>
      <c r="T35" s="5"/>
      <c r="U35" s="5">
        <v>437</v>
      </c>
      <c r="V35" s="5"/>
      <c r="W35" s="5">
        <v>194</v>
      </c>
      <c r="X35" s="5">
        <v>395</v>
      </c>
      <c r="Y35" s="5"/>
      <c r="Z35" s="5"/>
    </row>
    <row r="36" spans="1:26" x14ac:dyDescent="0.35">
      <c r="A36" s="22" t="s">
        <v>572</v>
      </c>
      <c r="B36" s="21" t="s">
        <v>573</v>
      </c>
      <c r="C36" s="16" t="s">
        <v>574</v>
      </c>
      <c r="D36" s="16" t="s">
        <v>575</v>
      </c>
      <c r="E36" s="17" t="s">
        <v>527</v>
      </c>
      <c r="F36" s="17" t="s">
        <v>431</v>
      </c>
      <c r="G36" s="16" t="s">
        <v>306</v>
      </c>
      <c r="H36" s="16" t="s">
        <v>576</v>
      </c>
      <c r="I36" s="17">
        <v>348</v>
      </c>
      <c r="J36" s="17"/>
      <c r="K36" s="17">
        <v>59</v>
      </c>
      <c r="L36" s="17">
        <v>34</v>
      </c>
      <c r="M36" s="17"/>
      <c r="N36" s="17">
        <v>453</v>
      </c>
      <c r="O36" s="17"/>
      <c r="P36" s="17">
        <v>820</v>
      </c>
      <c r="Q36" s="17">
        <v>7</v>
      </c>
      <c r="R36" s="17">
        <v>456</v>
      </c>
      <c r="S36" s="17"/>
      <c r="T36" s="17"/>
      <c r="U36" s="17">
        <v>257</v>
      </c>
      <c r="V36" s="17"/>
      <c r="W36" s="17">
        <v>298</v>
      </c>
      <c r="X36" s="17">
        <v>519</v>
      </c>
      <c r="Y36" s="17"/>
      <c r="Z36" s="17"/>
    </row>
    <row r="37" spans="1:26" ht="25" x14ac:dyDescent="0.35">
      <c r="A37" s="23" t="s">
        <v>577</v>
      </c>
      <c r="B37" s="11" t="s">
        <v>578</v>
      </c>
      <c r="C37" s="4" t="s">
        <v>579</v>
      </c>
      <c r="D37" s="4" t="s">
        <v>580</v>
      </c>
      <c r="E37" s="5" t="s">
        <v>559</v>
      </c>
      <c r="F37" s="5" t="s">
        <v>466</v>
      </c>
      <c r="G37" s="4" t="s">
        <v>303</v>
      </c>
      <c r="H37" s="4" t="s">
        <v>467</v>
      </c>
      <c r="I37" s="5">
        <v>377</v>
      </c>
      <c r="J37" s="5"/>
      <c r="K37" s="5">
        <v>494</v>
      </c>
      <c r="L37" s="5">
        <v>517</v>
      </c>
      <c r="M37" s="5"/>
      <c r="N37" s="5">
        <v>425</v>
      </c>
      <c r="O37" s="5"/>
      <c r="P37" s="5">
        <v>758</v>
      </c>
      <c r="Q37" s="5"/>
      <c r="R37" s="5">
        <v>477</v>
      </c>
      <c r="S37" s="5">
        <v>838</v>
      </c>
      <c r="T37" s="5"/>
      <c r="U37" s="5">
        <v>435</v>
      </c>
      <c r="V37" s="5"/>
      <c r="W37" s="5">
        <v>186</v>
      </c>
      <c r="X37" s="5"/>
      <c r="Y37" s="5"/>
      <c r="Z37" s="5"/>
    </row>
    <row r="38" spans="1:26" x14ac:dyDescent="0.35">
      <c r="A38" s="23" t="s">
        <v>581</v>
      </c>
      <c r="B38" s="11" t="s">
        <v>582</v>
      </c>
      <c r="C38" s="4" t="s">
        <v>583</v>
      </c>
      <c r="D38" s="4" t="s">
        <v>584</v>
      </c>
      <c r="E38" s="5" t="s">
        <v>323</v>
      </c>
      <c r="F38" s="5" t="s">
        <v>366</v>
      </c>
      <c r="G38" s="4" t="s">
        <v>303</v>
      </c>
      <c r="H38" s="4" t="s">
        <v>585</v>
      </c>
      <c r="I38" s="5"/>
      <c r="J38" s="5">
        <v>61</v>
      </c>
      <c r="K38" s="5">
        <v>349</v>
      </c>
      <c r="L38" s="5">
        <v>399</v>
      </c>
      <c r="M38" s="5"/>
      <c r="N38" s="5">
        <v>375</v>
      </c>
      <c r="O38" s="5"/>
      <c r="P38" s="5">
        <v>694</v>
      </c>
      <c r="Q38" s="5">
        <v>474</v>
      </c>
      <c r="R38" s="5">
        <v>409</v>
      </c>
      <c r="S38" s="5"/>
      <c r="T38" s="5"/>
      <c r="U38" s="5">
        <v>476</v>
      </c>
      <c r="V38" s="5"/>
      <c r="W38" s="5"/>
      <c r="X38" s="5">
        <v>502</v>
      </c>
      <c r="Y38" s="5"/>
      <c r="Z38" s="5"/>
    </row>
    <row r="39" spans="1:26" x14ac:dyDescent="0.35">
      <c r="A39" s="23" t="s">
        <v>586</v>
      </c>
      <c r="B39" s="11" t="s">
        <v>587</v>
      </c>
      <c r="C39" s="4" t="s">
        <v>588</v>
      </c>
      <c r="D39" s="4" t="s">
        <v>589</v>
      </c>
      <c r="E39" s="5" t="s">
        <v>523</v>
      </c>
      <c r="F39" s="5" t="s">
        <v>367</v>
      </c>
      <c r="G39" s="4" t="s">
        <v>303</v>
      </c>
      <c r="H39" s="4" t="s">
        <v>590</v>
      </c>
      <c r="I39" s="5">
        <v>351</v>
      </c>
      <c r="J39" s="5"/>
      <c r="K39" s="5">
        <v>65</v>
      </c>
      <c r="L39" s="5">
        <v>25</v>
      </c>
      <c r="M39" s="5"/>
      <c r="N39" s="5">
        <v>439</v>
      </c>
      <c r="O39" s="5"/>
      <c r="P39" s="5">
        <v>977</v>
      </c>
      <c r="Q39" s="5">
        <v>436</v>
      </c>
      <c r="R39" s="5">
        <v>448</v>
      </c>
      <c r="S39" s="5"/>
      <c r="T39" s="5"/>
      <c r="U39" s="5">
        <v>253</v>
      </c>
      <c r="V39" s="5"/>
      <c r="W39" s="5">
        <v>295</v>
      </c>
      <c r="X39" s="5"/>
      <c r="Y39" s="5"/>
      <c r="Z39" s="5"/>
    </row>
    <row r="40" spans="1:26" x14ac:dyDescent="0.35">
      <c r="A40" s="22" t="s">
        <v>591</v>
      </c>
      <c r="B40" s="21" t="s">
        <v>418</v>
      </c>
      <c r="C40" s="16" t="s">
        <v>419</v>
      </c>
      <c r="D40" s="16" t="s">
        <v>420</v>
      </c>
      <c r="E40" s="17" t="s">
        <v>311</v>
      </c>
      <c r="F40" s="17" t="s">
        <v>552</v>
      </c>
      <c r="G40" s="16" t="s">
        <v>302</v>
      </c>
      <c r="H40" s="16" t="s">
        <v>592</v>
      </c>
      <c r="I40" s="17">
        <v>273</v>
      </c>
      <c r="J40" s="17"/>
      <c r="K40" s="17">
        <v>365</v>
      </c>
      <c r="L40" s="17"/>
      <c r="M40" s="17"/>
      <c r="N40" s="17"/>
      <c r="O40" s="17"/>
      <c r="P40" s="17"/>
      <c r="Q40" s="17">
        <v>275</v>
      </c>
      <c r="R40" s="17">
        <v>255</v>
      </c>
      <c r="S40" s="17"/>
      <c r="T40" s="17"/>
      <c r="U40" s="17"/>
      <c r="V40" s="17"/>
      <c r="W40" s="17">
        <v>195</v>
      </c>
      <c r="X40" s="17"/>
      <c r="Y40" s="17"/>
      <c r="Z40" s="17"/>
    </row>
    <row r="41" spans="1:26" x14ac:dyDescent="0.35">
      <c r="A41" s="23" t="s">
        <v>593</v>
      </c>
      <c r="B41" s="11" t="s">
        <v>594</v>
      </c>
      <c r="C41" s="4" t="s">
        <v>595</v>
      </c>
      <c r="D41" s="4" t="s">
        <v>596</v>
      </c>
      <c r="E41" s="5" t="s">
        <v>545</v>
      </c>
      <c r="F41" s="5" t="s">
        <v>597</v>
      </c>
      <c r="G41" s="4" t="s">
        <v>303</v>
      </c>
      <c r="H41" s="4" t="s">
        <v>598</v>
      </c>
      <c r="I41" s="5">
        <v>193</v>
      </c>
      <c r="J41" s="5"/>
      <c r="K41" s="5">
        <v>425</v>
      </c>
      <c r="L41" s="5">
        <v>321</v>
      </c>
      <c r="M41" s="5"/>
      <c r="N41" s="5"/>
      <c r="O41" s="5"/>
      <c r="P41" s="5"/>
      <c r="Q41" s="5"/>
      <c r="R41" s="5">
        <v>522</v>
      </c>
      <c r="S41" s="5"/>
      <c r="T41" s="5"/>
      <c r="U41" s="5"/>
      <c r="V41" s="5"/>
      <c r="W41" s="5">
        <v>201</v>
      </c>
      <c r="X41" s="5"/>
      <c r="Y41" s="5"/>
      <c r="Z41" s="5"/>
    </row>
    <row r="42" spans="1:26" x14ac:dyDescent="0.35">
      <c r="A42" s="20" t="s">
        <v>599</v>
      </c>
      <c r="B42" s="11" t="s">
        <v>600</v>
      </c>
      <c r="C42" s="4" t="s">
        <v>601</v>
      </c>
      <c r="D42" s="4" t="s">
        <v>602</v>
      </c>
      <c r="E42" s="5" t="s">
        <v>603</v>
      </c>
      <c r="F42" s="5" t="s">
        <v>371</v>
      </c>
      <c r="G42" s="4" t="s">
        <v>303</v>
      </c>
      <c r="H42" s="4" t="s">
        <v>604</v>
      </c>
      <c r="I42" s="5">
        <v>365</v>
      </c>
      <c r="J42" s="5"/>
      <c r="K42" s="5">
        <v>495</v>
      </c>
      <c r="L42" s="5">
        <v>524</v>
      </c>
      <c r="M42" s="5"/>
      <c r="N42" s="5">
        <v>406</v>
      </c>
      <c r="O42" s="5"/>
      <c r="P42" s="5">
        <v>734</v>
      </c>
      <c r="Q42" s="5"/>
      <c r="R42" s="5">
        <v>524</v>
      </c>
      <c r="S42" s="5"/>
      <c r="T42" s="5"/>
      <c r="U42" s="5">
        <v>448</v>
      </c>
      <c r="V42" s="5"/>
      <c r="W42" s="5">
        <v>291</v>
      </c>
      <c r="X42" s="5"/>
      <c r="Y42" s="5"/>
      <c r="Z42" s="5"/>
    </row>
    <row r="43" spans="1:26" x14ac:dyDescent="0.35">
      <c r="A43" s="18" t="s">
        <v>599</v>
      </c>
      <c r="B43" s="11" t="s">
        <v>605</v>
      </c>
      <c r="C43" s="4" t="s">
        <v>606</v>
      </c>
      <c r="D43" s="4" t="s">
        <v>607</v>
      </c>
      <c r="E43" s="5" t="s">
        <v>323</v>
      </c>
      <c r="F43" s="5" t="s">
        <v>367</v>
      </c>
      <c r="G43" s="4" t="s">
        <v>303</v>
      </c>
      <c r="H43" s="4" t="s">
        <v>326</v>
      </c>
      <c r="I43" s="5">
        <v>381</v>
      </c>
      <c r="J43" s="5"/>
      <c r="K43" s="5">
        <v>511</v>
      </c>
      <c r="L43" s="5">
        <v>437</v>
      </c>
      <c r="M43" s="5"/>
      <c r="N43" s="5">
        <v>414</v>
      </c>
      <c r="O43" s="5"/>
      <c r="P43" s="5">
        <v>714</v>
      </c>
      <c r="Q43" s="5">
        <v>282</v>
      </c>
      <c r="R43" s="5">
        <v>261</v>
      </c>
      <c r="S43" s="5"/>
      <c r="T43" s="5"/>
      <c r="U43" s="5">
        <v>447</v>
      </c>
      <c r="V43" s="5"/>
      <c r="W43" s="5"/>
      <c r="X43" s="5">
        <v>450</v>
      </c>
      <c r="Y43" s="5"/>
      <c r="Z43" s="5"/>
    </row>
    <row r="44" spans="1:26" x14ac:dyDescent="0.35">
      <c r="A44" s="23" t="s">
        <v>608</v>
      </c>
      <c r="B44" s="11" t="s">
        <v>448</v>
      </c>
      <c r="C44" s="4" t="s">
        <v>449</v>
      </c>
      <c r="D44" s="4" t="s">
        <v>450</v>
      </c>
      <c r="E44" s="5" t="s">
        <v>531</v>
      </c>
      <c r="F44" s="5" t="s">
        <v>331</v>
      </c>
      <c r="G44" s="4" t="s">
        <v>302</v>
      </c>
      <c r="H44" s="4"/>
      <c r="I44" s="5">
        <v>407</v>
      </c>
      <c r="J44" s="5"/>
      <c r="K44" s="5">
        <v>527</v>
      </c>
      <c r="L44" s="5"/>
      <c r="M44" s="5"/>
      <c r="N44" s="5"/>
      <c r="O44" s="5"/>
      <c r="P44" s="5"/>
      <c r="Q44" s="5">
        <v>587</v>
      </c>
      <c r="R44" s="5">
        <v>238</v>
      </c>
      <c r="S44" s="5"/>
      <c r="T44" s="5"/>
      <c r="U44" s="5"/>
      <c r="V44" s="5"/>
      <c r="W44" s="5">
        <v>259</v>
      </c>
      <c r="X44" s="5"/>
      <c r="Y44" s="5"/>
      <c r="Z44" s="5"/>
    </row>
    <row r="45" spans="1:26" x14ac:dyDescent="0.35">
      <c r="A45" s="18" t="s">
        <v>609</v>
      </c>
      <c r="B45" s="14" t="s">
        <v>610</v>
      </c>
      <c r="C45" s="4" t="s">
        <v>611</v>
      </c>
      <c r="D45" s="4" t="s">
        <v>612</v>
      </c>
      <c r="E45" s="5" t="s">
        <v>323</v>
      </c>
      <c r="F45" s="5" t="s">
        <v>359</v>
      </c>
      <c r="G45" s="4" t="s">
        <v>303</v>
      </c>
      <c r="H45" s="4" t="s">
        <v>434</v>
      </c>
      <c r="I45" s="5">
        <v>426</v>
      </c>
      <c r="J45" s="5"/>
      <c r="K45" s="5">
        <v>532</v>
      </c>
      <c r="L45" s="5">
        <v>407</v>
      </c>
      <c r="M45" s="5"/>
      <c r="N45" s="5"/>
      <c r="O45" s="5"/>
      <c r="P45" s="5"/>
      <c r="Q45" s="5"/>
      <c r="R45" s="5">
        <v>535</v>
      </c>
      <c r="S45" s="5"/>
      <c r="T45" s="5"/>
      <c r="U45" s="5"/>
      <c r="V45" s="5"/>
      <c r="W45" s="5">
        <v>255</v>
      </c>
      <c r="X45" s="5"/>
      <c r="Y45" s="5"/>
      <c r="Z45" s="5"/>
    </row>
    <row r="46" spans="1:26" ht="25" x14ac:dyDescent="0.35">
      <c r="A46" s="23" t="s">
        <v>613</v>
      </c>
      <c r="B46" s="11" t="s">
        <v>614</v>
      </c>
      <c r="C46" s="4" t="s">
        <v>615</v>
      </c>
      <c r="D46" s="4" t="s">
        <v>616</v>
      </c>
      <c r="E46" s="5" t="s">
        <v>409</v>
      </c>
      <c r="F46" s="5" t="s">
        <v>412</v>
      </c>
      <c r="G46" s="4" t="s">
        <v>303</v>
      </c>
      <c r="H46" s="4" t="s">
        <v>617</v>
      </c>
      <c r="I46" s="5">
        <v>151</v>
      </c>
      <c r="J46" s="5"/>
      <c r="K46" s="5"/>
      <c r="L46" s="5">
        <v>272</v>
      </c>
      <c r="M46" s="5"/>
      <c r="N46" s="5">
        <v>187</v>
      </c>
      <c r="O46" s="5"/>
      <c r="P46" s="5">
        <v>346</v>
      </c>
      <c r="Q46" s="5"/>
      <c r="R46" s="5">
        <v>107</v>
      </c>
      <c r="S46" s="5">
        <v>317</v>
      </c>
      <c r="T46" s="5"/>
      <c r="U46" s="5">
        <v>20</v>
      </c>
      <c r="V46" s="5"/>
      <c r="W46" s="5"/>
      <c r="X46" s="5"/>
      <c r="Y46" s="5"/>
      <c r="Z46" s="5"/>
    </row>
    <row r="47" spans="1:26" x14ac:dyDescent="0.35">
      <c r="A47" s="22" t="s">
        <v>618</v>
      </c>
      <c r="B47" s="21" t="s">
        <v>619</v>
      </c>
      <c r="C47" s="16" t="s">
        <v>620</v>
      </c>
      <c r="D47" s="16" t="s">
        <v>621</v>
      </c>
      <c r="E47" s="17" t="s">
        <v>71</v>
      </c>
      <c r="F47" s="17" t="s">
        <v>622</v>
      </c>
      <c r="G47" s="16" t="s">
        <v>303</v>
      </c>
      <c r="H47" s="16" t="s">
        <v>623</v>
      </c>
      <c r="I47" s="17"/>
      <c r="J47" s="17">
        <v>80</v>
      </c>
      <c r="K47" s="17"/>
      <c r="L47" s="17">
        <v>477</v>
      </c>
      <c r="M47" s="17"/>
      <c r="N47" s="17">
        <v>293</v>
      </c>
      <c r="O47" s="17"/>
      <c r="P47" s="17">
        <v>647</v>
      </c>
      <c r="Q47" s="17"/>
      <c r="R47" s="17">
        <v>212</v>
      </c>
      <c r="S47" s="17">
        <v>861</v>
      </c>
      <c r="T47" s="17"/>
      <c r="U47" s="17">
        <v>536</v>
      </c>
      <c r="V47" s="17"/>
      <c r="W47" s="17"/>
      <c r="X47" s="17"/>
      <c r="Y47" s="17"/>
      <c r="Z47" s="17"/>
    </row>
    <row r="48" spans="1:26" x14ac:dyDescent="0.35">
      <c r="A48" s="23" t="s">
        <v>626</v>
      </c>
      <c r="B48" s="11" t="s">
        <v>627</v>
      </c>
      <c r="C48" s="4" t="s">
        <v>628</v>
      </c>
      <c r="D48" s="4" t="s">
        <v>629</v>
      </c>
      <c r="E48" s="5" t="s">
        <v>433</v>
      </c>
      <c r="F48" s="5" t="s">
        <v>447</v>
      </c>
      <c r="G48" s="4" t="s">
        <v>303</v>
      </c>
      <c r="H48" s="4" t="s">
        <v>630</v>
      </c>
      <c r="I48" s="5">
        <v>424</v>
      </c>
      <c r="J48" s="5"/>
      <c r="K48" s="5">
        <v>547</v>
      </c>
      <c r="L48" s="5">
        <v>589</v>
      </c>
      <c r="M48" s="5"/>
      <c r="N48" s="5">
        <v>268</v>
      </c>
      <c r="O48" s="5"/>
      <c r="P48" s="5">
        <v>679</v>
      </c>
      <c r="Q48" s="5">
        <v>596</v>
      </c>
      <c r="R48" s="5">
        <v>526</v>
      </c>
      <c r="S48" s="5"/>
      <c r="T48" s="5"/>
      <c r="U48" s="5">
        <v>554</v>
      </c>
      <c r="V48" s="5"/>
      <c r="W48" s="5"/>
      <c r="X48" s="5"/>
      <c r="Y48" s="5"/>
      <c r="Z48" s="5"/>
    </row>
  </sheetData>
  <autoFilter ref="A1:Z48" xr:uid="{00000000-0009-0000-0000-000004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1" topLeftCell="A2" activePane="bottomLeft" state="frozen"/>
      <selection pane="bottomLeft" activeCell="B20" sqref="B20"/>
    </sheetView>
  </sheetViews>
  <sheetFormatPr defaultRowHeight="14.5" x14ac:dyDescent="0.35"/>
  <cols>
    <col min="1" max="1" width="12" customWidth="1"/>
    <col min="2" max="2" width="120" customWidth="1"/>
  </cols>
  <sheetData>
    <row r="1" spans="1:2" x14ac:dyDescent="0.35">
      <c r="A1" s="19" t="s">
        <v>291</v>
      </c>
      <c r="B1" s="19" t="s">
        <v>3</v>
      </c>
    </row>
    <row r="2" spans="1:2" ht="75" x14ac:dyDescent="0.35">
      <c r="A2" s="8">
        <v>1</v>
      </c>
      <c r="B2" s="4" t="s">
        <v>636</v>
      </c>
    </row>
    <row r="3" spans="1:2" ht="62.5" x14ac:dyDescent="0.35">
      <c r="A3" s="8">
        <v>2</v>
      </c>
      <c r="B3" s="4" t="s">
        <v>637</v>
      </c>
    </row>
    <row r="4" spans="1:2" ht="50" x14ac:dyDescent="0.35">
      <c r="A4" s="8">
        <v>3</v>
      </c>
      <c r="B4" s="4" t="s">
        <v>638</v>
      </c>
    </row>
    <row r="5" spans="1:2" ht="62.5" x14ac:dyDescent="0.35">
      <c r="A5" s="8">
        <v>4</v>
      </c>
      <c r="B5" s="4" t="s">
        <v>639</v>
      </c>
    </row>
    <row r="6" spans="1:2" ht="50" x14ac:dyDescent="0.35">
      <c r="A6" s="8">
        <v>5</v>
      </c>
      <c r="B6" s="4" t="s">
        <v>640</v>
      </c>
    </row>
    <row r="7" spans="1:2" ht="37.5" x14ac:dyDescent="0.35">
      <c r="A7" s="8">
        <v>6</v>
      </c>
      <c r="B7" s="4" t="s">
        <v>641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18795-4B55-4B5F-B529-26CFA8BD69A7}">
  <dimension ref="A1:AA14"/>
  <sheetViews>
    <sheetView topLeftCell="A10" workbookViewId="0">
      <selection activeCell="I13" sqref="I13"/>
    </sheetView>
  </sheetViews>
  <sheetFormatPr defaultRowHeight="14.5" x14ac:dyDescent="0.35"/>
  <cols>
    <col min="9" max="9" width="70" bestFit="1" customWidth="1"/>
    <col min="10" max="10" width="7" customWidth="1"/>
    <col min="11" max="11" width="6" customWidth="1"/>
    <col min="12" max="12" width="7" customWidth="1"/>
    <col min="13" max="13" width="6" customWidth="1"/>
    <col min="14" max="15" width="10" customWidth="1"/>
    <col min="16" max="16" width="8" customWidth="1"/>
    <col min="17" max="17" width="9" customWidth="1"/>
    <col min="18" max="18" width="7" customWidth="1"/>
    <col min="19" max="19" width="6" customWidth="1"/>
    <col min="20" max="20" width="9" customWidth="1"/>
    <col min="21" max="21" width="6" customWidth="1"/>
    <col min="22" max="23" width="8" customWidth="1"/>
    <col min="24" max="24" width="17" customWidth="1"/>
    <col min="25" max="25" width="10" customWidth="1"/>
    <col min="26" max="27" width="6" customWidth="1"/>
  </cols>
  <sheetData>
    <row r="1" spans="1:27" ht="26.25" customHeight="1" x14ac:dyDescent="0.35">
      <c r="J1" s="13" t="s">
        <v>4</v>
      </c>
      <c r="K1" s="13" t="s">
        <v>5</v>
      </c>
      <c r="L1" s="13" t="s">
        <v>6</v>
      </c>
      <c r="M1" s="13" t="s">
        <v>7</v>
      </c>
      <c r="N1" s="13" t="s">
        <v>8</v>
      </c>
      <c r="O1" s="13" t="s">
        <v>9</v>
      </c>
      <c r="P1" s="13" t="s">
        <v>10</v>
      </c>
      <c r="Q1" s="13" t="s">
        <v>11</v>
      </c>
      <c r="R1" s="13" t="s">
        <v>12</v>
      </c>
      <c r="S1" s="13" t="s">
        <v>13</v>
      </c>
      <c r="T1" s="13" t="s">
        <v>16</v>
      </c>
      <c r="U1" s="13" t="s">
        <v>15</v>
      </c>
      <c r="V1" s="13" t="s">
        <v>14</v>
      </c>
      <c r="W1" s="13" t="s">
        <v>17</v>
      </c>
      <c r="X1" s="13" t="s">
        <v>18</v>
      </c>
      <c r="Y1" s="13" t="s">
        <v>19</v>
      </c>
      <c r="Z1" s="13" t="s">
        <v>20</v>
      </c>
      <c r="AA1" s="13" t="s">
        <v>21</v>
      </c>
    </row>
    <row r="2" spans="1:27" ht="175" x14ac:dyDescent="0.35">
      <c r="A2" s="18" t="s">
        <v>327</v>
      </c>
      <c r="B2" s="11" t="s">
        <v>337</v>
      </c>
      <c r="C2" s="4" t="s">
        <v>338</v>
      </c>
      <c r="D2" s="4" t="s">
        <v>339</v>
      </c>
      <c r="E2" s="5" t="s">
        <v>323</v>
      </c>
      <c r="F2" s="5" t="s">
        <v>335</v>
      </c>
      <c r="G2" s="4" t="s">
        <v>303</v>
      </c>
      <c r="H2" s="4" t="s">
        <v>340</v>
      </c>
      <c r="J2" s="5"/>
      <c r="K2" s="5"/>
      <c r="L2" s="5">
        <v>133</v>
      </c>
      <c r="M2" s="5">
        <v>60</v>
      </c>
      <c r="N2" s="5">
        <v>704</v>
      </c>
      <c r="O2" s="5">
        <v>18</v>
      </c>
      <c r="P2" s="5"/>
      <c r="Q2" s="5">
        <v>345</v>
      </c>
      <c r="R2" s="5">
        <v>164</v>
      </c>
      <c r="S2" s="5">
        <v>96</v>
      </c>
      <c r="T2" s="5">
        <v>318</v>
      </c>
      <c r="U2" s="5"/>
      <c r="V2" s="5">
        <v>15</v>
      </c>
      <c r="W2" s="5"/>
      <c r="X2" s="5">
        <v>158</v>
      </c>
      <c r="Y2" s="5">
        <v>37</v>
      </c>
      <c r="Z2" s="5"/>
      <c r="AA2" s="5">
        <v>26</v>
      </c>
    </row>
    <row r="3" spans="1:27" ht="237.5" x14ac:dyDescent="0.35">
      <c r="A3" s="18" t="s">
        <v>341</v>
      </c>
      <c r="B3" s="11" t="s">
        <v>343</v>
      </c>
      <c r="C3" s="4" t="s">
        <v>344</v>
      </c>
      <c r="D3" s="4" t="s">
        <v>345</v>
      </c>
      <c r="E3" s="5" t="s">
        <v>346</v>
      </c>
      <c r="F3" s="5" t="s">
        <v>347</v>
      </c>
      <c r="G3" s="4" t="s">
        <v>303</v>
      </c>
      <c r="H3" s="4" t="s">
        <v>348</v>
      </c>
      <c r="J3" s="5"/>
      <c r="K3" s="5"/>
      <c r="L3" s="5"/>
      <c r="M3" s="5">
        <v>62</v>
      </c>
      <c r="N3" s="5"/>
      <c r="O3" s="5">
        <v>31</v>
      </c>
      <c r="P3" s="5"/>
      <c r="Q3" s="5">
        <v>357</v>
      </c>
      <c r="R3" s="5">
        <v>172</v>
      </c>
      <c r="S3" s="5">
        <v>110</v>
      </c>
      <c r="T3" s="5">
        <v>327</v>
      </c>
      <c r="U3" s="5"/>
      <c r="V3" s="5">
        <v>23</v>
      </c>
      <c r="W3" s="5"/>
      <c r="X3" s="5" t="s">
        <v>903</v>
      </c>
      <c r="Y3" s="5">
        <v>34</v>
      </c>
      <c r="Z3" s="5"/>
      <c r="AA3" s="5"/>
    </row>
    <row r="4" spans="1:27" ht="87.5" x14ac:dyDescent="0.35">
      <c r="A4" s="18" t="s">
        <v>405</v>
      </c>
      <c r="B4" s="11" t="s">
        <v>406</v>
      </c>
      <c r="C4" s="4" t="s">
        <v>407</v>
      </c>
      <c r="D4" s="4" t="s">
        <v>408</v>
      </c>
      <c r="E4" s="5" t="s">
        <v>409</v>
      </c>
      <c r="F4" s="5" t="s">
        <v>352</v>
      </c>
      <c r="G4" s="4" t="s">
        <v>303</v>
      </c>
      <c r="H4" s="4" t="s">
        <v>410</v>
      </c>
      <c r="J4" s="5"/>
      <c r="K4" s="5"/>
      <c r="L4" s="5"/>
      <c r="M4" s="5">
        <v>98</v>
      </c>
      <c r="N4" s="5">
        <v>721</v>
      </c>
      <c r="O4" s="5">
        <v>36</v>
      </c>
      <c r="P4" s="5"/>
      <c r="Q4" s="5">
        <v>384</v>
      </c>
      <c r="R4" s="5"/>
      <c r="S4" s="5">
        <v>181</v>
      </c>
      <c r="T4" s="5">
        <v>358</v>
      </c>
      <c r="U4" s="5"/>
      <c r="V4" s="5">
        <v>35</v>
      </c>
      <c r="W4" s="5"/>
      <c r="X4" s="5">
        <v>166</v>
      </c>
      <c r="Y4" s="5">
        <v>42</v>
      </c>
      <c r="Z4" s="5"/>
      <c r="AA4" s="5">
        <v>28</v>
      </c>
    </row>
    <row r="5" spans="1:27" ht="137.5" x14ac:dyDescent="0.35">
      <c r="A5" s="18" t="s">
        <v>417</v>
      </c>
      <c r="B5" s="11" t="s">
        <v>421</v>
      </c>
      <c r="C5" s="4" t="s">
        <v>422</v>
      </c>
      <c r="D5" s="4" t="s">
        <v>423</v>
      </c>
      <c r="E5" s="5" t="s">
        <v>409</v>
      </c>
      <c r="F5" s="5" t="s">
        <v>366</v>
      </c>
      <c r="G5" s="4" t="s">
        <v>303</v>
      </c>
      <c r="H5" s="4" t="s">
        <v>424</v>
      </c>
      <c r="J5" s="5"/>
      <c r="K5" s="5"/>
      <c r="L5" s="5"/>
      <c r="M5" s="5"/>
      <c r="N5" s="5"/>
      <c r="O5" s="5">
        <v>74</v>
      </c>
      <c r="P5" s="5"/>
      <c r="Q5" s="5">
        <v>401</v>
      </c>
      <c r="R5" s="5"/>
      <c r="S5" s="5"/>
      <c r="T5" s="5"/>
      <c r="U5" s="5"/>
      <c r="V5" s="5"/>
      <c r="W5" s="5"/>
      <c r="X5" s="5"/>
      <c r="Y5" s="5">
        <v>83</v>
      </c>
      <c r="Z5" s="5"/>
      <c r="AA5" s="5"/>
    </row>
    <row r="6" spans="1:27" ht="175" x14ac:dyDescent="0.35">
      <c r="A6" s="18" t="s">
        <v>432</v>
      </c>
      <c r="B6" s="11" t="s">
        <v>435</v>
      </c>
      <c r="C6" s="4" t="s">
        <v>436</v>
      </c>
      <c r="D6" s="4" t="s">
        <v>437</v>
      </c>
      <c r="E6" s="5" t="s">
        <v>433</v>
      </c>
      <c r="F6" s="5" t="s">
        <v>366</v>
      </c>
      <c r="G6" s="4" t="s">
        <v>303</v>
      </c>
      <c r="H6" s="4" t="s">
        <v>411</v>
      </c>
      <c r="J6" s="5"/>
      <c r="K6" s="5"/>
      <c r="L6" s="5"/>
      <c r="M6" s="5"/>
      <c r="N6" s="5">
        <v>723</v>
      </c>
      <c r="O6" s="5">
        <v>87</v>
      </c>
      <c r="P6" s="5"/>
      <c r="Q6" s="5">
        <v>413</v>
      </c>
      <c r="R6" s="5">
        <v>253</v>
      </c>
      <c r="S6" s="5">
        <v>223</v>
      </c>
      <c r="T6" s="5">
        <v>391</v>
      </c>
      <c r="U6" s="5"/>
      <c r="V6" s="5">
        <v>96</v>
      </c>
      <c r="W6" s="5">
        <v>720</v>
      </c>
      <c r="X6" s="5"/>
      <c r="Y6" s="5">
        <v>80</v>
      </c>
      <c r="Z6" s="5"/>
      <c r="AA6" s="5"/>
    </row>
    <row r="7" spans="1:27" ht="62.5" x14ac:dyDescent="0.35">
      <c r="A7" s="18" t="s">
        <v>468</v>
      </c>
      <c r="B7" s="11" t="s">
        <v>474</v>
      </c>
      <c r="C7" s="4" t="s">
        <v>475</v>
      </c>
      <c r="D7" s="4" t="s">
        <v>476</v>
      </c>
      <c r="E7" s="5" t="s">
        <v>477</v>
      </c>
      <c r="F7" s="5" t="s">
        <v>367</v>
      </c>
      <c r="G7" s="4" t="s">
        <v>303</v>
      </c>
      <c r="H7" s="4" t="s">
        <v>478</v>
      </c>
      <c r="J7" s="5"/>
      <c r="K7" s="5"/>
      <c r="L7" s="5"/>
      <c r="M7" s="5">
        <v>168</v>
      </c>
      <c r="N7" s="5" t="s">
        <v>904</v>
      </c>
      <c r="O7" s="5" t="s">
        <v>905</v>
      </c>
      <c r="P7" s="5"/>
      <c r="Q7" s="5">
        <v>455</v>
      </c>
      <c r="R7" s="5"/>
      <c r="S7" s="5">
        <v>273</v>
      </c>
      <c r="T7" s="5"/>
      <c r="U7" s="5"/>
      <c r="V7" s="5"/>
      <c r="W7" s="5"/>
      <c r="X7" s="5">
        <v>204</v>
      </c>
      <c r="Y7" s="5" t="s">
        <v>906</v>
      </c>
      <c r="Z7" s="5"/>
      <c r="AA7" s="5">
        <v>38</v>
      </c>
    </row>
    <row r="8" spans="1:27" ht="137.5" x14ac:dyDescent="0.35">
      <c r="A8" s="18" t="s">
        <v>480</v>
      </c>
      <c r="B8" s="14" t="s">
        <v>481</v>
      </c>
      <c r="C8" s="4" t="s">
        <v>482</v>
      </c>
      <c r="D8" s="4" t="s">
        <v>483</v>
      </c>
      <c r="E8" s="5" t="s">
        <v>360</v>
      </c>
      <c r="F8" s="5" t="s">
        <v>484</v>
      </c>
      <c r="G8" s="4" t="s">
        <v>303</v>
      </c>
      <c r="H8" s="4" t="s">
        <v>485</v>
      </c>
      <c r="I8" s="4"/>
      <c r="J8" s="5"/>
      <c r="K8" s="5"/>
      <c r="L8" s="5"/>
      <c r="M8" s="5"/>
      <c r="N8" s="5">
        <v>728</v>
      </c>
      <c r="O8" s="5">
        <v>117</v>
      </c>
      <c r="P8" s="5"/>
      <c r="Q8" s="5">
        <v>454</v>
      </c>
      <c r="R8" s="5"/>
      <c r="S8" s="5">
        <v>298</v>
      </c>
      <c r="T8" s="5">
        <v>419</v>
      </c>
      <c r="U8" s="5"/>
      <c r="V8" s="5">
        <v>122</v>
      </c>
      <c r="W8" s="5"/>
      <c r="X8" s="5" t="s">
        <v>907</v>
      </c>
      <c r="Y8" s="5">
        <v>118</v>
      </c>
      <c r="Z8" s="5"/>
      <c r="AA8" s="5">
        <v>92</v>
      </c>
    </row>
    <row r="9" spans="1:27" ht="125" x14ac:dyDescent="0.35">
      <c r="A9" s="24" t="s">
        <v>624</v>
      </c>
      <c r="B9" s="11" t="s">
        <v>391</v>
      </c>
      <c r="C9" s="4" t="s">
        <v>392</v>
      </c>
      <c r="D9" s="10" t="s">
        <v>393</v>
      </c>
      <c r="E9" s="5" t="s">
        <v>312</v>
      </c>
      <c r="F9" s="5" t="s">
        <v>484</v>
      </c>
      <c r="G9" s="4" t="s">
        <v>303</v>
      </c>
      <c r="H9" s="4" t="s">
        <v>326</v>
      </c>
      <c r="J9" s="5">
        <v>15</v>
      </c>
      <c r="K9" s="5"/>
      <c r="L9" s="5">
        <v>148</v>
      </c>
      <c r="M9" s="5">
        <v>104</v>
      </c>
      <c r="N9" s="5">
        <v>709</v>
      </c>
      <c r="O9" s="5">
        <v>43</v>
      </c>
      <c r="P9" s="5"/>
      <c r="Q9" s="5">
        <v>385</v>
      </c>
      <c r="R9" s="5">
        <v>291</v>
      </c>
      <c r="S9" s="5">
        <v>267</v>
      </c>
      <c r="T9" s="5"/>
      <c r="U9" s="5"/>
      <c r="V9" s="5">
        <v>39</v>
      </c>
      <c r="W9" s="5"/>
      <c r="X9" s="5">
        <v>169</v>
      </c>
      <c r="Y9" s="5">
        <v>64</v>
      </c>
      <c r="Z9" s="5"/>
      <c r="AA9" s="5">
        <v>27</v>
      </c>
    </row>
    <row r="10" spans="1:27" ht="200" x14ac:dyDescent="0.35">
      <c r="A10" s="15" t="s">
        <v>631</v>
      </c>
      <c r="B10" s="21" t="s">
        <v>632</v>
      </c>
      <c r="C10" s="16" t="s">
        <v>633</v>
      </c>
      <c r="D10" s="16" t="s">
        <v>634</v>
      </c>
      <c r="E10" s="17" t="s">
        <v>71</v>
      </c>
      <c r="F10" s="17" t="s">
        <v>625</v>
      </c>
      <c r="G10" s="16" t="s">
        <v>303</v>
      </c>
      <c r="H10" s="16" t="s">
        <v>635</v>
      </c>
      <c r="J10" s="17"/>
      <c r="K10" s="17"/>
      <c r="L10" s="17"/>
      <c r="M10" s="17">
        <v>273</v>
      </c>
      <c r="N10" s="17"/>
      <c r="O10" s="17">
        <v>188</v>
      </c>
      <c r="P10" s="17"/>
      <c r="Q10" s="17">
        <v>969</v>
      </c>
      <c r="R10" s="17"/>
      <c r="S10" s="17"/>
      <c r="T10" s="17"/>
      <c r="U10" s="17"/>
      <c r="V10" s="17"/>
      <c r="W10" s="17"/>
      <c r="X10" s="17">
        <v>174</v>
      </c>
      <c r="Y10" s="17"/>
      <c r="Z10" s="17"/>
      <c r="AA10" s="17"/>
    </row>
    <row r="11" spans="1:27" ht="87.5" x14ac:dyDescent="0.35">
      <c r="A11" s="18" t="s">
        <v>154</v>
      </c>
      <c r="B11" s="11" t="s">
        <v>513</v>
      </c>
      <c r="C11" s="4" t="s">
        <v>514</v>
      </c>
      <c r="D11" s="4" t="s">
        <v>515</v>
      </c>
      <c r="E11" s="5" t="s">
        <v>516</v>
      </c>
      <c r="F11" s="5" t="s">
        <v>367</v>
      </c>
      <c r="G11" s="4" t="s">
        <v>303</v>
      </c>
      <c r="H11" s="4" t="s">
        <v>517</v>
      </c>
      <c r="J11" s="5"/>
      <c r="K11" s="5"/>
      <c r="L11" s="5">
        <v>235</v>
      </c>
      <c r="M11" s="5">
        <v>212</v>
      </c>
      <c r="N11" s="5"/>
      <c r="O11" s="5">
        <v>149</v>
      </c>
      <c r="P11" s="5"/>
      <c r="Q11" s="5">
        <v>493</v>
      </c>
      <c r="R11" s="5"/>
      <c r="S11" s="5">
        <v>389</v>
      </c>
      <c r="T11" s="5">
        <v>472</v>
      </c>
      <c r="U11" s="5"/>
      <c r="V11" s="5">
        <v>171</v>
      </c>
      <c r="W11" s="5"/>
      <c r="X11" s="5"/>
      <c r="Y11" s="5">
        <v>157</v>
      </c>
      <c r="Z11" s="5"/>
      <c r="AA11" s="5"/>
    </row>
    <row r="12" spans="1:27" ht="75" x14ac:dyDescent="0.35">
      <c r="A12" s="18" t="s">
        <v>374</v>
      </c>
      <c r="B12" s="14" t="s">
        <v>383</v>
      </c>
      <c r="C12" s="4" t="s">
        <v>384</v>
      </c>
      <c r="D12" s="4" t="s">
        <v>385</v>
      </c>
      <c r="E12" s="5" t="s">
        <v>386</v>
      </c>
      <c r="F12" s="5" t="s">
        <v>387</v>
      </c>
      <c r="G12" s="4" t="s">
        <v>303</v>
      </c>
      <c r="H12" s="4" t="s">
        <v>388</v>
      </c>
      <c r="J12" s="5"/>
      <c r="K12" s="5"/>
      <c r="L12" s="5"/>
      <c r="M12" s="5">
        <v>115</v>
      </c>
      <c r="N12" s="5"/>
      <c r="O12" s="5"/>
      <c r="P12" s="5"/>
      <c r="Q12" s="5"/>
      <c r="R12" s="5"/>
      <c r="S12" s="5">
        <v>157</v>
      </c>
      <c r="T12" s="5"/>
      <c r="U12" s="5"/>
      <c r="V12" s="5"/>
      <c r="W12" s="5"/>
      <c r="X12" s="5">
        <v>177</v>
      </c>
      <c r="Y12" s="5"/>
      <c r="Z12" s="5"/>
      <c r="AA12" s="5"/>
    </row>
    <row r="13" spans="1:27" ht="287.5" x14ac:dyDescent="0.35">
      <c r="A13" s="22" t="s">
        <v>491</v>
      </c>
      <c r="B13" s="21" t="s">
        <v>492</v>
      </c>
      <c r="C13" s="16" t="s">
        <v>493</v>
      </c>
      <c r="D13" s="16" t="s">
        <v>494</v>
      </c>
      <c r="E13" s="17" t="s">
        <v>495</v>
      </c>
      <c r="F13" s="17" t="s">
        <v>496</v>
      </c>
      <c r="G13" s="16" t="s">
        <v>479</v>
      </c>
      <c r="H13" s="16" t="s">
        <v>497</v>
      </c>
      <c r="J13" s="17"/>
      <c r="K13" s="17"/>
      <c r="L13" s="17"/>
      <c r="M13" s="17">
        <v>208</v>
      </c>
      <c r="N13" s="17">
        <v>735</v>
      </c>
      <c r="O13" s="17">
        <v>130</v>
      </c>
      <c r="P13" s="17"/>
      <c r="Q13" s="17" t="s">
        <v>908</v>
      </c>
      <c r="R13" s="17"/>
      <c r="S13" s="17">
        <v>366</v>
      </c>
      <c r="T13" s="17" t="s">
        <v>909</v>
      </c>
      <c r="U13" s="17"/>
      <c r="V13" s="17">
        <v>165</v>
      </c>
      <c r="W13" s="17"/>
      <c r="X13" s="17"/>
      <c r="Y13" s="17">
        <v>139</v>
      </c>
      <c r="Z13" s="17"/>
      <c r="AA13" s="17"/>
    </row>
    <row r="14" spans="1:27" x14ac:dyDescent="0.35">
      <c r="A14" t="s">
        <v>911</v>
      </c>
      <c r="B14" t="s">
        <v>910</v>
      </c>
      <c r="D14" t="s">
        <v>912</v>
      </c>
      <c r="P14">
        <v>852</v>
      </c>
      <c r="Q14">
        <v>630</v>
      </c>
      <c r="AA14">
        <v>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46"/>
  <sheetViews>
    <sheetView workbookViewId="0">
      <pane xSplit="1" ySplit="1" topLeftCell="B8" activePane="bottomRight" state="frozen"/>
      <selection pane="topRight"/>
      <selection pane="bottomLeft"/>
      <selection pane="bottomRight" activeCell="C45" sqref="C45"/>
    </sheetView>
  </sheetViews>
  <sheetFormatPr defaultRowHeight="14.5" x14ac:dyDescent="0.35"/>
  <cols>
    <col min="1" max="1" width="44" customWidth="1"/>
    <col min="2" max="2" width="33" customWidth="1"/>
    <col min="3" max="3" width="15" customWidth="1"/>
    <col min="4" max="4" width="6" customWidth="1"/>
    <col min="5" max="5" width="9" customWidth="1"/>
    <col min="6" max="6" width="10" customWidth="1"/>
    <col min="7" max="7" width="8" customWidth="1"/>
    <col min="8" max="8" width="10" customWidth="1"/>
    <col min="9" max="9" width="8" customWidth="1"/>
    <col min="10" max="10" width="10" customWidth="1"/>
    <col min="11" max="11" width="9" customWidth="1"/>
    <col min="12" max="13" width="10" customWidth="1"/>
    <col min="14" max="14" width="6" customWidth="1"/>
    <col min="15" max="15" width="10" customWidth="1"/>
    <col min="16" max="16" width="8" customWidth="1"/>
    <col min="17" max="18" width="10" customWidth="1"/>
    <col min="19" max="19" width="6" customWidth="1"/>
    <col min="20" max="20" width="48" customWidth="1"/>
    <col min="21" max="24" width="14" customWidth="1"/>
    <col min="25" max="25" width="48" customWidth="1"/>
    <col min="26" max="26" width="46" customWidth="1"/>
    <col min="27" max="27" width="42" customWidth="1"/>
    <col min="28" max="28" width="40" customWidth="1"/>
    <col min="29" max="29" width="36" customWidth="1"/>
  </cols>
  <sheetData>
    <row r="1" spans="1:29" ht="26.25" customHeight="1" x14ac:dyDescent="0.35">
      <c r="A1" s="13" t="s">
        <v>657</v>
      </c>
      <c r="B1" s="13" t="s">
        <v>658</v>
      </c>
      <c r="C1" s="13" t="s">
        <v>4</v>
      </c>
      <c r="D1" s="13" t="s">
        <v>5</v>
      </c>
      <c r="E1" s="13" t="s">
        <v>6</v>
      </c>
      <c r="F1" s="13" t="s">
        <v>7</v>
      </c>
      <c r="G1" s="13" t="s">
        <v>8</v>
      </c>
      <c r="H1" s="13" t="s">
        <v>9</v>
      </c>
      <c r="I1" s="13" t="s">
        <v>10</v>
      </c>
      <c r="J1" s="13" t="s">
        <v>11</v>
      </c>
      <c r="K1" s="13" t="s">
        <v>12</v>
      </c>
      <c r="L1" s="13" t="s">
        <v>13</v>
      </c>
      <c r="M1" s="13" t="s">
        <v>16</v>
      </c>
      <c r="N1" s="13" t="s">
        <v>15</v>
      </c>
      <c r="O1" s="13" t="s">
        <v>14</v>
      </c>
      <c r="P1" s="13" t="s">
        <v>17</v>
      </c>
      <c r="Q1" s="13" t="s">
        <v>18</v>
      </c>
      <c r="R1" s="13" t="s">
        <v>19</v>
      </c>
      <c r="S1" s="13" t="s">
        <v>20</v>
      </c>
      <c r="T1" s="13" t="s">
        <v>659</v>
      </c>
      <c r="U1" s="13" t="s">
        <v>660</v>
      </c>
      <c r="V1" s="13" t="s">
        <v>661</v>
      </c>
      <c r="W1" s="13" t="s">
        <v>662</v>
      </c>
      <c r="X1" s="13" t="s">
        <v>663</v>
      </c>
      <c r="Y1" s="13" t="s">
        <v>664</v>
      </c>
      <c r="Z1" s="13" t="s">
        <v>665</v>
      </c>
      <c r="AA1" s="13" t="s">
        <v>666</v>
      </c>
      <c r="AB1" s="13" t="s">
        <v>667</v>
      </c>
      <c r="AC1" s="13" t="s">
        <v>668</v>
      </c>
    </row>
    <row r="2" spans="1:29" x14ac:dyDescent="0.35">
      <c r="A2" s="18" t="s">
        <v>669</v>
      </c>
      <c r="B2" s="18" t="s">
        <v>670</v>
      </c>
      <c r="C2" s="5">
        <v>73</v>
      </c>
      <c r="D2" s="5"/>
      <c r="E2" s="5">
        <v>191</v>
      </c>
      <c r="F2" s="5">
        <v>142</v>
      </c>
      <c r="G2" s="5"/>
      <c r="H2" s="5">
        <v>111</v>
      </c>
      <c r="I2" s="5"/>
      <c r="J2" s="5">
        <v>438</v>
      </c>
      <c r="K2" s="5">
        <v>301</v>
      </c>
      <c r="L2" s="5">
        <v>331</v>
      </c>
      <c r="M2" s="5">
        <v>422</v>
      </c>
      <c r="N2" s="5"/>
      <c r="O2" s="5">
        <v>100</v>
      </c>
      <c r="P2" s="5"/>
      <c r="Q2" s="5"/>
      <c r="R2" s="5">
        <v>105</v>
      </c>
      <c r="S2" s="5"/>
      <c r="T2" s="18" t="s">
        <v>671</v>
      </c>
      <c r="U2" s="18"/>
      <c r="V2" s="18"/>
      <c r="W2" s="18"/>
      <c r="X2" s="18"/>
      <c r="Y2" s="18" t="s">
        <v>672</v>
      </c>
      <c r="Z2" s="18"/>
      <c r="AA2" s="18"/>
      <c r="AB2" s="18"/>
      <c r="AC2" s="18"/>
    </row>
    <row r="3" spans="1:29" x14ac:dyDescent="0.35">
      <c r="A3" s="18" t="s">
        <v>673</v>
      </c>
      <c r="B3" s="18" t="s">
        <v>674</v>
      </c>
      <c r="C3" s="5">
        <v>158</v>
      </c>
      <c r="D3" s="5"/>
      <c r="E3" s="5">
        <v>273</v>
      </c>
      <c r="F3" s="5">
        <v>262</v>
      </c>
      <c r="G3" s="5"/>
      <c r="H3" s="5" t="s">
        <v>675</v>
      </c>
      <c r="I3" s="5"/>
      <c r="J3" s="5" t="s">
        <v>676</v>
      </c>
      <c r="K3" s="5">
        <v>270</v>
      </c>
      <c r="L3" s="5" t="s">
        <v>677</v>
      </c>
      <c r="M3" s="5" t="s">
        <v>678</v>
      </c>
      <c r="N3" s="5"/>
      <c r="O3" s="5" t="s">
        <v>679</v>
      </c>
      <c r="P3" s="5">
        <v>774</v>
      </c>
      <c r="Q3" s="5">
        <v>241</v>
      </c>
      <c r="R3" s="5" t="s">
        <v>680</v>
      </c>
      <c r="S3" s="5"/>
      <c r="T3" s="18" t="s">
        <v>681</v>
      </c>
      <c r="U3" s="18"/>
      <c r="V3" s="18"/>
      <c r="W3" s="18"/>
      <c r="X3" s="18"/>
      <c r="Y3" s="18"/>
      <c r="Z3" s="18"/>
      <c r="AA3" s="18"/>
      <c r="AB3" s="18"/>
      <c r="AC3" s="18"/>
    </row>
    <row r="4" spans="1:29" x14ac:dyDescent="0.35">
      <c r="A4" s="18" t="s">
        <v>682</v>
      </c>
      <c r="B4" s="18" t="s">
        <v>683</v>
      </c>
      <c r="C4" s="5">
        <v>2</v>
      </c>
      <c r="D4" s="5"/>
      <c r="E4" s="5">
        <v>9</v>
      </c>
      <c r="F4" s="5">
        <v>53</v>
      </c>
      <c r="G4" s="5"/>
      <c r="H4" s="5">
        <v>287</v>
      </c>
      <c r="I4" s="5"/>
      <c r="J4" s="5">
        <v>919</v>
      </c>
      <c r="K4" s="5">
        <v>57</v>
      </c>
      <c r="L4" s="5">
        <v>579</v>
      </c>
      <c r="M4" s="5">
        <v>924</v>
      </c>
      <c r="N4" s="5"/>
      <c r="O4" s="5">
        <v>333</v>
      </c>
      <c r="P4" s="5"/>
      <c r="Q4" s="5"/>
      <c r="R4" s="5">
        <v>263</v>
      </c>
      <c r="S4" s="5"/>
      <c r="T4" s="18" t="s">
        <v>684</v>
      </c>
      <c r="U4" s="18"/>
      <c r="V4" s="18"/>
      <c r="W4" s="18"/>
      <c r="X4" s="18"/>
      <c r="Y4" s="18" t="s">
        <v>685</v>
      </c>
      <c r="Z4" s="18" t="s">
        <v>686</v>
      </c>
      <c r="AA4" s="18"/>
      <c r="AB4" s="18"/>
      <c r="AC4" s="18"/>
    </row>
    <row r="5" spans="1:29" x14ac:dyDescent="0.35">
      <c r="A5" s="18" t="s">
        <v>687</v>
      </c>
      <c r="B5" s="18" t="s">
        <v>688</v>
      </c>
      <c r="C5" s="5">
        <v>20</v>
      </c>
      <c r="D5" s="5"/>
      <c r="E5" s="5">
        <v>145</v>
      </c>
      <c r="F5" s="5">
        <v>77</v>
      </c>
      <c r="G5" s="5"/>
      <c r="H5" s="5">
        <v>39</v>
      </c>
      <c r="I5" s="5"/>
      <c r="J5" s="5">
        <v>360</v>
      </c>
      <c r="K5" s="5">
        <v>177</v>
      </c>
      <c r="L5" s="5">
        <v>115</v>
      </c>
      <c r="M5" s="5">
        <v>329</v>
      </c>
      <c r="N5" s="5"/>
      <c r="O5" s="5">
        <v>37</v>
      </c>
      <c r="P5" s="5"/>
      <c r="Q5" s="5"/>
      <c r="R5" s="5">
        <v>46</v>
      </c>
      <c r="S5" s="5"/>
      <c r="T5" s="18" t="s">
        <v>689</v>
      </c>
      <c r="U5" s="18"/>
      <c r="V5" s="18"/>
      <c r="W5" s="18"/>
      <c r="X5" s="18"/>
      <c r="Y5" s="18" t="s">
        <v>690</v>
      </c>
      <c r="Z5" s="18" t="s">
        <v>691</v>
      </c>
      <c r="AA5" s="18" t="s">
        <v>692</v>
      </c>
      <c r="AB5" s="18"/>
      <c r="AC5" s="18"/>
    </row>
    <row r="6" spans="1:29" x14ac:dyDescent="0.35">
      <c r="A6" s="18" t="s">
        <v>693</v>
      </c>
      <c r="B6" s="18" t="s">
        <v>694</v>
      </c>
      <c r="C6" s="5">
        <v>8</v>
      </c>
      <c r="D6" s="5"/>
      <c r="E6" s="5">
        <v>3</v>
      </c>
      <c r="F6" s="5">
        <v>16</v>
      </c>
      <c r="G6" s="5"/>
      <c r="H6" s="5">
        <v>202</v>
      </c>
      <c r="I6" s="5"/>
      <c r="J6" s="5">
        <v>904</v>
      </c>
      <c r="K6" s="5">
        <v>34</v>
      </c>
      <c r="L6" s="5">
        <v>1</v>
      </c>
      <c r="M6" s="5">
        <v>919</v>
      </c>
      <c r="N6" s="5"/>
      <c r="O6" s="5">
        <v>221</v>
      </c>
      <c r="P6" s="5"/>
      <c r="Q6" s="5"/>
      <c r="R6" s="5">
        <v>248</v>
      </c>
      <c r="S6" s="5"/>
      <c r="T6" s="18" t="s">
        <v>695</v>
      </c>
      <c r="U6" s="18"/>
      <c r="V6" s="18"/>
      <c r="W6" s="18"/>
      <c r="X6" s="18"/>
      <c r="Y6" s="18" t="s">
        <v>696</v>
      </c>
      <c r="Z6" s="18" t="s">
        <v>697</v>
      </c>
      <c r="AA6" s="18"/>
      <c r="AB6" s="18"/>
      <c r="AC6" s="18"/>
    </row>
    <row r="7" spans="1:29" x14ac:dyDescent="0.35">
      <c r="A7" s="18" t="s">
        <v>698</v>
      </c>
      <c r="B7" s="18" t="s">
        <v>699</v>
      </c>
      <c r="C7" s="5">
        <v>79</v>
      </c>
      <c r="D7" s="5"/>
      <c r="E7" s="5">
        <v>196</v>
      </c>
      <c r="F7" s="5">
        <v>151</v>
      </c>
      <c r="G7" s="5"/>
      <c r="H7" s="5">
        <v>94</v>
      </c>
      <c r="I7" s="5"/>
      <c r="J7" s="5">
        <v>420</v>
      </c>
      <c r="K7" s="5">
        <v>319</v>
      </c>
      <c r="L7" s="5" t="s">
        <v>700</v>
      </c>
      <c r="M7" s="5">
        <v>396</v>
      </c>
      <c r="N7" s="5"/>
      <c r="O7" s="5">
        <v>114</v>
      </c>
      <c r="P7" s="5"/>
      <c r="Q7" s="5"/>
      <c r="R7" s="5">
        <v>97</v>
      </c>
      <c r="S7" s="5"/>
      <c r="T7" s="18" t="s">
        <v>701</v>
      </c>
      <c r="U7" s="18"/>
      <c r="V7" s="18"/>
      <c r="W7" s="18"/>
      <c r="X7" s="18"/>
      <c r="Y7" s="18" t="s">
        <v>702</v>
      </c>
      <c r="Z7" s="18"/>
      <c r="AA7" s="18"/>
      <c r="AB7" s="18"/>
      <c r="AC7" s="18"/>
    </row>
    <row r="8" spans="1:29" x14ac:dyDescent="0.35">
      <c r="A8" s="18" t="s">
        <v>703</v>
      </c>
      <c r="B8" s="18" t="s">
        <v>704</v>
      </c>
      <c r="C8" s="5">
        <v>190</v>
      </c>
      <c r="D8" s="5"/>
      <c r="E8" s="5">
        <v>402</v>
      </c>
      <c r="F8" s="5">
        <v>300</v>
      </c>
      <c r="G8" s="5"/>
      <c r="H8" s="5">
        <v>226</v>
      </c>
      <c r="I8" s="5"/>
      <c r="J8" s="5">
        <v>592</v>
      </c>
      <c r="K8" s="5">
        <v>145</v>
      </c>
      <c r="L8" s="5">
        <v>244</v>
      </c>
      <c r="M8" s="5">
        <v>648</v>
      </c>
      <c r="N8" s="5"/>
      <c r="O8" s="5">
        <v>295</v>
      </c>
      <c r="P8" s="5"/>
      <c r="Q8" s="5"/>
      <c r="R8" s="5">
        <v>187</v>
      </c>
      <c r="S8" s="5"/>
      <c r="T8" s="18" t="s">
        <v>705</v>
      </c>
      <c r="U8" s="18"/>
      <c r="V8" s="18"/>
      <c r="W8" s="18"/>
      <c r="X8" s="18"/>
      <c r="Y8" s="18" t="s">
        <v>706</v>
      </c>
      <c r="Z8" s="18"/>
      <c r="AA8" s="18"/>
      <c r="AB8" s="18"/>
      <c r="AC8" s="18"/>
    </row>
    <row r="9" spans="1:29" x14ac:dyDescent="0.35">
      <c r="A9" s="18" t="s">
        <v>707</v>
      </c>
      <c r="B9" s="18" t="s">
        <v>708</v>
      </c>
      <c r="C9" s="5">
        <v>124</v>
      </c>
      <c r="D9" s="5"/>
      <c r="E9" s="5">
        <v>234</v>
      </c>
      <c r="F9" s="5">
        <v>215</v>
      </c>
      <c r="G9" s="5"/>
      <c r="H9" s="5">
        <v>153</v>
      </c>
      <c r="I9" s="5"/>
      <c r="J9" s="5">
        <v>701</v>
      </c>
      <c r="K9" s="5">
        <v>58</v>
      </c>
      <c r="L9" s="5">
        <v>581</v>
      </c>
      <c r="M9" s="5">
        <v>700</v>
      </c>
      <c r="N9" s="5"/>
      <c r="O9" s="5">
        <v>170</v>
      </c>
      <c r="P9" s="5"/>
      <c r="Q9" s="5"/>
      <c r="R9" s="5"/>
      <c r="S9" s="5"/>
      <c r="T9" s="18" t="s">
        <v>709</v>
      </c>
      <c r="U9" s="18"/>
      <c r="V9" s="18"/>
      <c r="W9" s="18"/>
      <c r="X9" s="18"/>
      <c r="Y9" s="18" t="s">
        <v>710</v>
      </c>
      <c r="Z9" s="18" t="s">
        <v>711</v>
      </c>
      <c r="AA9" s="18"/>
      <c r="AB9" s="18"/>
      <c r="AC9" s="18"/>
    </row>
    <row r="10" spans="1:29" x14ac:dyDescent="0.35">
      <c r="A10" s="18" t="s">
        <v>712</v>
      </c>
      <c r="B10" s="18" t="s">
        <v>713</v>
      </c>
      <c r="C10" s="5">
        <v>400</v>
      </c>
      <c r="D10" s="5"/>
      <c r="E10" s="5">
        <v>529</v>
      </c>
      <c r="F10" s="5">
        <v>597</v>
      </c>
      <c r="G10" s="5"/>
      <c r="H10" s="5">
        <v>267</v>
      </c>
      <c r="I10" s="5"/>
      <c r="J10" s="5">
        <v>742</v>
      </c>
      <c r="K10" s="5">
        <v>583</v>
      </c>
      <c r="L10" s="5">
        <v>473</v>
      </c>
      <c r="M10" s="5">
        <v>848</v>
      </c>
      <c r="N10" s="5"/>
      <c r="O10" s="5">
        <v>606</v>
      </c>
      <c r="P10" s="5"/>
      <c r="Q10" s="5"/>
      <c r="R10" s="5"/>
      <c r="S10" s="5"/>
      <c r="T10" s="18" t="s">
        <v>714</v>
      </c>
      <c r="U10" s="18"/>
      <c r="V10" s="18"/>
      <c r="W10" s="18"/>
      <c r="X10" s="18"/>
      <c r="Y10" s="18" t="s">
        <v>715</v>
      </c>
      <c r="Z10" s="18"/>
      <c r="AA10" s="18"/>
      <c r="AB10" s="18"/>
      <c r="AC10" s="18"/>
    </row>
    <row r="11" spans="1:29" x14ac:dyDescent="0.35">
      <c r="A11" s="18" t="s">
        <v>716</v>
      </c>
      <c r="B11" s="18" t="s">
        <v>717</v>
      </c>
      <c r="C11" s="5">
        <v>374</v>
      </c>
      <c r="D11" s="5"/>
      <c r="E11" s="5">
        <v>509</v>
      </c>
      <c r="F11" s="5">
        <v>393</v>
      </c>
      <c r="G11" s="5"/>
      <c r="H11" s="5">
        <v>409</v>
      </c>
      <c r="I11" s="5"/>
      <c r="J11" s="5">
        <v>713</v>
      </c>
      <c r="K11" s="5">
        <v>349</v>
      </c>
      <c r="L11" s="5">
        <v>465</v>
      </c>
      <c r="M11" s="5">
        <v>826</v>
      </c>
      <c r="N11" s="5"/>
      <c r="O11" s="5">
        <v>418</v>
      </c>
      <c r="P11" s="5"/>
      <c r="Q11" s="5">
        <v>286</v>
      </c>
      <c r="R11" s="5">
        <v>468</v>
      </c>
      <c r="S11" s="5"/>
      <c r="T11" s="18" t="s">
        <v>718</v>
      </c>
      <c r="U11" s="18"/>
      <c r="V11" s="18"/>
      <c r="W11" s="18"/>
      <c r="X11" s="18"/>
      <c r="Y11" s="18" t="s">
        <v>719</v>
      </c>
      <c r="Z11" s="18" t="s">
        <v>720</v>
      </c>
      <c r="AA11" s="18"/>
      <c r="AB11" s="18"/>
      <c r="AC11" s="18"/>
    </row>
    <row r="12" spans="1:29" x14ac:dyDescent="0.35">
      <c r="A12" s="18" t="s">
        <v>721</v>
      </c>
      <c r="B12" s="18" t="s">
        <v>722</v>
      </c>
      <c r="C12" s="5">
        <v>41</v>
      </c>
      <c r="D12" s="5"/>
      <c r="E12" s="5">
        <v>150</v>
      </c>
      <c r="F12" s="5">
        <v>85</v>
      </c>
      <c r="G12" s="5"/>
      <c r="H12" s="5" t="s">
        <v>723</v>
      </c>
      <c r="I12" s="5"/>
      <c r="J12" s="5">
        <v>358</v>
      </c>
      <c r="K12" s="5">
        <v>181</v>
      </c>
      <c r="L12" s="5" t="s">
        <v>724</v>
      </c>
      <c r="M12" s="5">
        <v>331</v>
      </c>
      <c r="N12" s="5"/>
      <c r="O12" s="5">
        <v>38</v>
      </c>
      <c r="P12" s="5"/>
      <c r="Q12" s="5">
        <v>159</v>
      </c>
      <c r="R12" s="5">
        <v>51</v>
      </c>
      <c r="S12" s="5"/>
      <c r="T12" s="18" t="s">
        <v>725</v>
      </c>
      <c r="U12" s="18"/>
      <c r="V12" s="18"/>
      <c r="W12" s="18"/>
      <c r="X12" s="18"/>
      <c r="Y12" s="18" t="s">
        <v>726</v>
      </c>
      <c r="Z12" s="18" t="s">
        <v>727</v>
      </c>
      <c r="AA12" s="18"/>
      <c r="AB12" s="18"/>
      <c r="AC12" s="18"/>
    </row>
    <row r="13" spans="1:29" x14ac:dyDescent="0.35">
      <c r="A13" s="18" t="s">
        <v>728</v>
      </c>
      <c r="B13" s="18" t="s">
        <v>729</v>
      </c>
      <c r="C13" s="5">
        <v>366</v>
      </c>
      <c r="D13" s="5"/>
      <c r="E13" s="5">
        <v>526</v>
      </c>
      <c r="F13" s="5">
        <v>528</v>
      </c>
      <c r="G13" s="5"/>
      <c r="H13" s="5">
        <v>407</v>
      </c>
      <c r="I13" s="5"/>
      <c r="J13" s="5">
        <v>724</v>
      </c>
      <c r="K13" s="5">
        <v>272</v>
      </c>
      <c r="L13" s="5">
        <v>517</v>
      </c>
      <c r="M13" s="5">
        <v>819</v>
      </c>
      <c r="N13" s="5"/>
      <c r="O13" s="5">
        <v>419</v>
      </c>
      <c r="P13" s="5"/>
      <c r="Q13" s="5">
        <v>282</v>
      </c>
      <c r="R13" s="5">
        <v>454</v>
      </c>
      <c r="S13" s="5"/>
      <c r="T13" s="18" t="s">
        <v>730</v>
      </c>
      <c r="U13" s="18"/>
      <c r="V13" s="18"/>
      <c r="W13" s="18"/>
      <c r="X13" s="18"/>
      <c r="Y13" s="18"/>
      <c r="Z13" s="18"/>
      <c r="AA13" s="18"/>
      <c r="AB13" s="18"/>
      <c r="AC13" s="18"/>
    </row>
    <row r="14" spans="1:29" x14ac:dyDescent="0.35">
      <c r="A14" s="18" t="s">
        <v>731</v>
      </c>
      <c r="B14" s="18" t="s">
        <v>732</v>
      </c>
      <c r="C14" s="5">
        <v>111</v>
      </c>
      <c r="D14" s="5"/>
      <c r="E14" s="5">
        <v>220</v>
      </c>
      <c r="F14" s="5">
        <v>206</v>
      </c>
      <c r="G14" s="5"/>
      <c r="H14" s="5">
        <v>266</v>
      </c>
      <c r="I14" s="5"/>
      <c r="J14" s="5">
        <v>741</v>
      </c>
      <c r="K14" s="5">
        <v>509</v>
      </c>
      <c r="L14" s="5">
        <v>532</v>
      </c>
      <c r="M14" s="5">
        <v>446</v>
      </c>
      <c r="N14" s="5"/>
      <c r="O14" s="5">
        <v>167</v>
      </c>
      <c r="P14" s="5"/>
      <c r="Q14" s="5"/>
      <c r="R14" s="5">
        <v>340</v>
      </c>
      <c r="S14" s="5"/>
      <c r="T14" s="18" t="s">
        <v>733</v>
      </c>
      <c r="U14" s="18"/>
      <c r="V14" s="18"/>
      <c r="W14" s="18"/>
      <c r="X14" s="18"/>
      <c r="Y14" s="18"/>
      <c r="Z14" s="18"/>
      <c r="AA14" s="18"/>
      <c r="AB14" s="18"/>
      <c r="AC14" s="18"/>
    </row>
    <row r="15" spans="1:29" x14ac:dyDescent="0.35">
      <c r="A15" s="18" t="s">
        <v>734</v>
      </c>
      <c r="B15" s="18" t="s">
        <v>735</v>
      </c>
      <c r="C15" s="5">
        <v>222</v>
      </c>
      <c r="D15" s="5"/>
      <c r="E15" s="5">
        <v>414</v>
      </c>
      <c r="F15" s="5">
        <v>324</v>
      </c>
      <c r="G15" s="5"/>
      <c r="H15" s="5">
        <v>229</v>
      </c>
      <c r="I15" s="5"/>
      <c r="J15" s="5" t="s">
        <v>736</v>
      </c>
      <c r="K15" s="5">
        <v>411</v>
      </c>
      <c r="L15" s="5">
        <v>426</v>
      </c>
      <c r="M15" s="5">
        <v>654</v>
      </c>
      <c r="N15" s="5"/>
      <c r="O15" s="5">
        <v>304</v>
      </c>
      <c r="P15" s="5"/>
      <c r="Q15" s="5"/>
      <c r="R15" s="5">
        <v>291</v>
      </c>
      <c r="S15" s="5"/>
      <c r="T15" s="18" t="s">
        <v>737</v>
      </c>
      <c r="U15" s="18"/>
      <c r="V15" s="18"/>
      <c r="W15" s="18"/>
      <c r="X15" s="18"/>
      <c r="Y15" s="18" t="s">
        <v>738</v>
      </c>
      <c r="Z15" s="18" t="s">
        <v>739</v>
      </c>
      <c r="AA15" s="18"/>
      <c r="AB15" s="18"/>
      <c r="AC15" s="18"/>
    </row>
    <row r="16" spans="1:29" x14ac:dyDescent="0.35">
      <c r="A16" s="18" t="s">
        <v>740</v>
      </c>
      <c r="B16" s="18" t="s">
        <v>741</v>
      </c>
      <c r="C16" s="5">
        <v>77</v>
      </c>
      <c r="D16" s="5"/>
      <c r="E16" s="5">
        <v>194</v>
      </c>
      <c r="F16" s="5">
        <v>144</v>
      </c>
      <c r="G16" s="5"/>
      <c r="H16" s="5">
        <v>95</v>
      </c>
      <c r="I16" s="5"/>
      <c r="J16" s="5">
        <v>421</v>
      </c>
      <c r="K16" s="5">
        <v>297</v>
      </c>
      <c r="L16" s="5">
        <v>293</v>
      </c>
      <c r="M16" s="5">
        <v>404</v>
      </c>
      <c r="N16" s="5"/>
      <c r="O16" s="5">
        <v>121</v>
      </c>
      <c r="P16" s="5"/>
      <c r="Q16" s="5"/>
      <c r="R16" s="5"/>
      <c r="S16" s="5"/>
      <c r="T16" s="18" t="s">
        <v>742</v>
      </c>
      <c r="U16" s="18"/>
      <c r="V16" s="18"/>
      <c r="W16" s="18"/>
      <c r="X16" s="18"/>
      <c r="Y16" s="18" t="s">
        <v>743</v>
      </c>
      <c r="Z16" s="18" t="s">
        <v>744</v>
      </c>
      <c r="AA16" s="18"/>
      <c r="AB16" s="18"/>
      <c r="AC16" s="18"/>
    </row>
    <row r="17" spans="1:29" x14ac:dyDescent="0.35">
      <c r="A17" s="18" t="s">
        <v>745</v>
      </c>
      <c r="B17" s="18" t="s">
        <v>746</v>
      </c>
      <c r="C17" s="5">
        <v>459</v>
      </c>
      <c r="D17" s="5"/>
      <c r="E17" s="5">
        <v>331</v>
      </c>
      <c r="F17" s="5">
        <v>410</v>
      </c>
      <c r="G17" s="5"/>
      <c r="H17" s="5">
        <v>386</v>
      </c>
      <c r="I17" s="5"/>
      <c r="J17" s="5">
        <v>718</v>
      </c>
      <c r="K17" s="5">
        <v>505</v>
      </c>
      <c r="L17" s="5">
        <v>587</v>
      </c>
      <c r="M17" s="5">
        <v>842</v>
      </c>
      <c r="N17" s="5"/>
      <c r="O17" s="5">
        <v>422</v>
      </c>
      <c r="P17" s="5"/>
      <c r="Q17" s="5"/>
      <c r="R17" s="5">
        <v>341</v>
      </c>
      <c r="S17" s="5"/>
      <c r="T17" s="18" t="s">
        <v>747</v>
      </c>
      <c r="U17" s="18"/>
      <c r="V17" s="18"/>
      <c r="W17" s="18"/>
      <c r="X17" s="18"/>
      <c r="Y17" s="18" t="s">
        <v>748</v>
      </c>
      <c r="Z17" s="18" t="s">
        <v>749</v>
      </c>
      <c r="AA17" s="18"/>
      <c r="AB17" s="18"/>
      <c r="AC17" s="18"/>
    </row>
    <row r="18" spans="1:29" x14ac:dyDescent="0.35">
      <c r="A18" s="18" t="s">
        <v>750</v>
      </c>
      <c r="B18" s="18" t="s">
        <v>751</v>
      </c>
      <c r="C18" s="5">
        <v>251</v>
      </c>
      <c r="D18" s="5"/>
      <c r="E18" s="5">
        <v>82</v>
      </c>
      <c r="F18" s="5">
        <v>347</v>
      </c>
      <c r="G18" s="5"/>
      <c r="H18" s="5">
        <v>270</v>
      </c>
      <c r="I18" s="5"/>
      <c r="J18" s="5">
        <v>743</v>
      </c>
      <c r="K18" s="5">
        <v>351</v>
      </c>
      <c r="L18" s="5" t="s">
        <v>752</v>
      </c>
      <c r="M18" s="5">
        <v>823</v>
      </c>
      <c r="N18" s="5"/>
      <c r="O18" s="5">
        <v>349</v>
      </c>
      <c r="P18" s="5"/>
      <c r="Q18" s="5"/>
      <c r="R18" s="5" t="s">
        <v>753</v>
      </c>
      <c r="S18" s="5"/>
      <c r="T18" s="18" t="s">
        <v>754</v>
      </c>
      <c r="U18" s="18"/>
      <c r="V18" s="18"/>
      <c r="W18" s="18"/>
      <c r="X18" s="18"/>
      <c r="Y18" s="18"/>
      <c r="Z18" s="18"/>
      <c r="AA18" s="18"/>
      <c r="AB18" s="18"/>
      <c r="AC18" s="18"/>
    </row>
    <row r="19" spans="1:29" x14ac:dyDescent="0.35">
      <c r="A19" s="18" t="s">
        <v>755</v>
      </c>
      <c r="B19" s="18" t="s">
        <v>756</v>
      </c>
      <c r="C19" s="5">
        <v>256</v>
      </c>
      <c r="D19" s="5"/>
      <c r="E19" s="5">
        <v>84</v>
      </c>
      <c r="F19" s="5">
        <v>349</v>
      </c>
      <c r="G19" s="5"/>
      <c r="H19" s="5">
        <v>280</v>
      </c>
      <c r="I19" s="5">
        <v>857</v>
      </c>
      <c r="J19" s="5">
        <v>683</v>
      </c>
      <c r="K19" s="5">
        <v>347</v>
      </c>
      <c r="L19" s="5">
        <v>372</v>
      </c>
      <c r="M19" s="5">
        <v>714</v>
      </c>
      <c r="N19" s="5"/>
      <c r="O19" s="5">
        <v>479</v>
      </c>
      <c r="P19" s="5"/>
      <c r="Q19" s="5"/>
      <c r="R19" s="5">
        <v>336</v>
      </c>
      <c r="S19" s="5"/>
      <c r="T19" s="18" t="s">
        <v>757</v>
      </c>
      <c r="U19" s="18"/>
      <c r="V19" s="18"/>
      <c r="W19" s="18"/>
      <c r="X19" s="18"/>
      <c r="Y19" s="18" t="s">
        <v>758</v>
      </c>
      <c r="Z19" s="18" t="s">
        <v>759</v>
      </c>
      <c r="AA19" s="18" t="s">
        <v>760</v>
      </c>
      <c r="AB19" s="18"/>
      <c r="AC19" s="18"/>
    </row>
    <row r="20" spans="1:29" x14ac:dyDescent="0.35">
      <c r="A20" s="18" t="s">
        <v>761</v>
      </c>
      <c r="B20" s="18" t="s">
        <v>762</v>
      </c>
      <c r="C20" s="5">
        <v>174</v>
      </c>
      <c r="D20" s="5"/>
      <c r="E20" s="5">
        <v>408</v>
      </c>
      <c r="F20" s="5">
        <v>334</v>
      </c>
      <c r="G20" s="5"/>
      <c r="H20" s="5">
        <v>257</v>
      </c>
      <c r="I20" s="5"/>
      <c r="J20" s="5">
        <v>689</v>
      </c>
      <c r="K20" s="5">
        <v>410</v>
      </c>
      <c r="L20" s="5">
        <v>427</v>
      </c>
      <c r="M20" s="5">
        <v>715</v>
      </c>
      <c r="N20" s="5"/>
      <c r="O20" s="5">
        <v>596</v>
      </c>
      <c r="P20" s="5"/>
      <c r="Q20" s="5"/>
      <c r="R20" s="5">
        <v>490</v>
      </c>
      <c r="S20" s="5"/>
      <c r="T20" s="18" t="s">
        <v>763</v>
      </c>
      <c r="U20" s="18"/>
      <c r="V20" s="18"/>
      <c r="W20" s="18"/>
      <c r="X20" s="18"/>
      <c r="Y20" s="18" t="s">
        <v>764</v>
      </c>
      <c r="Z20" s="18"/>
      <c r="AA20" s="18"/>
      <c r="AB20" s="18"/>
      <c r="AC20" s="18"/>
    </row>
    <row r="21" spans="1:29" x14ac:dyDescent="0.35">
      <c r="A21" s="18" t="s">
        <v>765</v>
      </c>
      <c r="B21" s="18" t="s">
        <v>766</v>
      </c>
      <c r="C21" s="5">
        <v>31</v>
      </c>
      <c r="D21" s="5"/>
      <c r="E21" s="5">
        <v>138</v>
      </c>
      <c r="F21" s="5">
        <v>73</v>
      </c>
      <c r="G21" s="5"/>
      <c r="H21" s="5" t="s">
        <v>767</v>
      </c>
      <c r="I21" s="5"/>
      <c r="J21" s="5" t="s">
        <v>768</v>
      </c>
      <c r="K21" s="5">
        <v>158</v>
      </c>
      <c r="L21" s="5" t="s">
        <v>769</v>
      </c>
      <c r="M21" s="5" t="s">
        <v>770</v>
      </c>
      <c r="N21" s="5"/>
      <c r="O21" s="5" t="s">
        <v>771</v>
      </c>
      <c r="P21" s="5"/>
      <c r="Q21" s="5"/>
      <c r="R21" s="5">
        <v>32</v>
      </c>
      <c r="S21" s="5"/>
      <c r="T21" s="18" t="s">
        <v>772</v>
      </c>
      <c r="U21" s="18"/>
      <c r="V21" s="18"/>
      <c r="W21" s="18"/>
      <c r="X21" s="18"/>
      <c r="Y21" s="18" t="s">
        <v>773</v>
      </c>
      <c r="Z21" s="18" t="s">
        <v>774</v>
      </c>
      <c r="AA21" s="18"/>
      <c r="AB21" s="18"/>
      <c r="AC21" s="18"/>
    </row>
    <row r="22" spans="1:29" x14ac:dyDescent="0.35">
      <c r="A22" s="18" t="s">
        <v>775</v>
      </c>
      <c r="B22" s="18" t="s">
        <v>776</v>
      </c>
      <c r="C22" s="5">
        <v>156</v>
      </c>
      <c r="D22" s="5"/>
      <c r="E22" s="5">
        <v>286</v>
      </c>
      <c r="F22" s="5">
        <v>254</v>
      </c>
      <c r="G22" s="5"/>
      <c r="H22" s="5">
        <v>189</v>
      </c>
      <c r="I22" s="5"/>
      <c r="J22" s="5">
        <v>522</v>
      </c>
      <c r="K22" s="5">
        <v>24</v>
      </c>
      <c r="L22" s="5">
        <v>545</v>
      </c>
      <c r="M22" s="5">
        <v>500</v>
      </c>
      <c r="N22" s="5"/>
      <c r="O22" s="5">
        <v>196</v>
      </c>
      <c r="P22" s="5"/>
      <c r="Q22" s="5"/>
      <c r="R22" s="5"/>
      <c r="S22" s="5"/>
      <c r="T22" s="18" t="s">
        <v>777</v>
      </c>
      <c r="U22" s="18"/>
      <c r="V22" s="18"/>
      <c r="W22" s="18"/>
      <c r="X22" s="18"/>
      <c r="Y22" s="18" t="s">
        <v>778</v>
      </c>
      <c r="Z22" s="18" t="s">
        <v>779</v>
      </c>
      <c r="AA22" s="18" t="s">
        <v>780</v>
      </c>
      <c r="AB22" s="18" t="s">
        <v>781</v>
      </c>
      <c r="AC22" s="18"/>
    </row>
    <row r="23" spans="1:29" x14ac:dyDescent="0.35">
      <c r="A23" s="18" t="s">
        <v>782</v>
      </c>
      <c r="B23" s="18" t="s">
        <v>783</v>
      </c>
      <c r="C23" s="5">
        <v>4</v>
      </c>
      <c r="D23" s="5"/>
      <c r="E23" s="5">
        <v>1</v>
      </c>
      <c r="F23" s="5">
        <v>3</v>
      </c>
      <c r="G23" s="5"/>
      <c r="H23" s="5">
        <v>201</v>
      </c>
      <c r="I23" s="5"/>
      <c r="J23" s="5">
        <v>902</v>
      </c>
      <c r="K23" s="5">
        <v>36</v>
      </c>
      <c r="L23" s="5">
        <v>23</v>
      </c>
      <c r="M23" s="5">
        <v>918</v>
      </c>
      <c r="N23" s="5"/>
      <c r="O23" s="5">
        <v>230</v>
      </c>
      <c r="P23" s="5"/>
      <c r="Q23" s="5"/>
      <c r="R23" s="5">
        <v>253</v>
      </c>
      <c r="S23" s="5"/>
      <c r="T23" s="18" t="s">
        <v>784</v>
      </c>
      <c r="U23" s="18"/>
      <c r="V23" s="18"/>
      <c r="W23" s="18"/>
      <c r="X23" s="18"/>
      <c r="Y23" s="18" t="s">
        <v>785</v>
      </c>
      <c r="Z23" s="18"/>
      <c r="AA23" s="18"/>
      <c r="AB23" s="18"/>
      <c r="AC23" s="18"/>
    </row>
    <row r="24" spans="1:29" x14ac:dyDescent="0.35">
      <c r="A24" s="18" t="s">
        <v>786</v>
      </c>
      <c r="B24" s="18" t="s">
        <v>683</v>
      </c>
      <c r="C24" s="5">
        <v>165</v>
      </c>
      <c r="D24" s="5"/>
      <c r="E24" s="5">
        <v>110</v>
      </c>
      <c r="F24" s="5">
        <v>292</v>
      </c>
      <c r="G24" s="5"/>
      <c r="H24" s="5">
        <v>344</v>
      </c>
      <c r="I24" s="5"/>
      <c r="J24" s="5">
        <v>585</v>
      </c>
      <c r="K24" s="5">
        <v>427</v>
      </c>
      <c r="L24" s="5">
        <v>511</v>
      </c>
      <c r="M24" s="5">
        <v>641</v>
      </c>
      <c r="N24" s="5"/>
      <c r="O24" s="5">
        <v>541</v>
      </c>
      <c r="P24" s="5"/>
      <c r="Q24" s="5"/>
      <c r="R24" s="5"/>
      <c r="S24" s="5"/>
      <c r="T24" s="18" t="s">
        <v>787</v>
      </c>
      <c r="U24" s="18"/>
      <c r="V24" s="18"/>
      <c r="W24" s="18"/>
      <c r="X24" s="18"/>
      <c r="Y24" s="18" t="s">
        <v>788</v>
      </c>
      <c r="Z24" s="18"/>
      <c r="AA24" s="18"/>
      <c r="AB24" s="18"/>
      <c r="AC24" s="18"/>
    </row>
    <row r="25" spans="1:29" x14ac:dyDescent="0.35">
      <c r="A25" s="18" t="s">
        <v>789</v>
      </c>
      <c r="B25" s="18" t="s">
        <v>790</v>
      </c>
      <c r="C25" s="5">
        <v>271</v>
      </c>
      <c r="D25" s="5"/>
      <c r="E25" s="5">
        <v>366</v>
      </c>
      <c r="F25" s="5">
        <v>429</v>
      </c>
      <c r="G25" s="5"/>
      <c r="H25" s="5">
        <v>413</v>
      </c>
      <c r="I25" s="5"/>
      <c r="J25" s="5">
        <v>708</v>
      </c>
      <c r="K25" s="5">
        <v>393</v>
      </c>
      <c r="L25" s="5">
        <v>406</v>
      </c>
      <c r="M25" s="5">
        <v>817</v>
      </c>
      <c r="N25" s="5"/>
      <c r="O25" s="5">
        <v>434</v>
      </c>
      <c r="P25" s="5"/>
      <c r="Q25" s="5">
        <v>260</v>
      </c>
      <c r="R25" s="5">
        <v>325</v>
      </c>
      <c r="S25" s="5"/>
      <c r="T25" s="18" t="s">
        <v>791</v>
      </c>
      <c r="U25" s="18"/>
      <c r="V25" s="18"/>
      <c r="W25" s="18"/>
      <c r="X25" s="18"/>
      <c r="Y25" s="18" t="s">
        <v>792</v>
      </c>
      <c r="Z25" s="18" t="s">
        <v>793</v>
      </c>
      <c r="AA25" s="18" t="s">
        <v>794</v>
      </c>
      <c r="AB25" s="18"/>
      <c r="AC25" s="18"/>
    </row>
    <row r="26" spans="1:29" x14ac:dyDescent="0.35">
      <c r="A26" s="18" t="s">
        <v>795</v>
      </c>
      <c r="B26" s="18" t="s">
        <v>796</v>
      </c>
      <c r="C26" s="5">
        <v>319</v>
      </c>
      <c r="D26" s="5"/>
      <c r="E26" s="5">
        <v>33</v>
      </c>
      <c r="F26" s="5">
        <v>554</v>
      </c>
      <c r="G26" s="5"/>
      <c r="H26" s="5">
        <v>485</v>
      </c>
      <c r="I26" s="5"/>
      <c r="J26" s="5">
        <v>880</v>
      </c>
      <c r="K26" s="5">
        <v>551</v>
      </c>
      <c r="L26" s="5">
        <v>569</v>
      </c>
      <c r="M26" s="5">
        <v>794</v>
      </c>
      <c r="N26" s="5"/>
      <c r="O26" s="5">
        <v>587</v>
      </c>
      <c r="P26" s="5"/>
      <c r="Q26" s="5">
        <v>318</v>
      </c>
      <c r="R26" s="5">
        <v>282</v>
      </c>
      <c r="S26" s="5"/>
      <c r="T26" s="18" t="s">
        <v>797</v>
      </c>
      <c r="U26" s="18"/>
      <c r="V26" s="18"/>
      <c r="W26" s="18"/>
      <c r="X26" s="18"/>
      <c r="Y26" s="18"/>
      <c r="Z26" s="18"/>
      <c r="AA26" s="18"/>
      <c r="AB26" s="18"/>
      <c r="AC26" s="18"/>
    </row>
    <row r="27" spans="1:29" x14ac:dyDescent="0.35">
      <c r="A27" s="18" t="s">
        <v>798</v>
      </c>
      <c r="B27" s="18" t="s">
        <v>799</v>
      </c>
      <c r="C27" s="5">
        <v>346</v>
      </c>
      <c r="D27" s="5"/>
      <c r="E27" s="5">
        <v>64</v>
      </c>
      <c r="F27" s="5">
        <v>36</v>
      </c>
      <c r="G27" s="5"/>
      <c r="H27" s="5">
        <v>443</v>
      </c>
      <c r="I27" s="5"/>
      <c r="J27" s="5">
        <v>895</v>
      </c>
      <c r="K27" s="5">
        <v>31</v>
      </c>
      <c r="L27" s="5">
        <v>63</v>
      </c>
      <c r="M27" s="5" t="s">
        <v>800</v>
      </c>
      <c r="N27" s="5"/>
      <c r="O27" s="5">
        <v>610</v>
      </c>
      <c r="P27" s="5"/>
      <c r="Q27" s="5">
        <v>299</v>
      </c>
      <c r="R27" s="5" t="s">
        <v>801</v>
      </c>
      <c r="S27" s="5"/>
      <c r="T27" s="18" t="s">
        <v>802</v>
      </c>
      <c r="U27" s="18"/>
      <c r="V27" s="18"/>
      <c r="W27" s="18"/>
      <c r="X27" s="18"/>
      <c r="Y27" s="18"/>
      <c r="Z27" s="18"/>
      <c r="AA27" s="18"/>
      <c r="AB27" s="18"/>
      <c r="AC27" s="18"/>
    </row>
    <row r="28" spans="1:29" x14ac:dyDescent="0.35">
      <c r="A28" s="18" t="s">
        <v>803</v>
      </c>
      <c r="B28" s="18" t="s">
        <v>804</v>
      </c>
      <c r="C28" s="5">
        <v>175</v>
      </c>
      <c r="D28" s="5"/>
      <c r="E28" s="5">
        <v>475</v>
      </c>
      <c r="F28" s="5">
        <v>512</v>
      </c>
      <c r="G28" s="5"/>
      <c r="H28" s="5">
        <v>314</v>
      </c>
      <c r="I28" s="5"/>
      <c r="J28" s="5">
        <v>839</v>
      </c>
      <c r="K28" s="5">
        <v>221</v>
      </c>
      <c r="L28" s="5">
        <v>198</v>
      </c>
      <c r="M28" s="5">
        <v>904</v>
      </c>
      <c r="N28" s="5"/>
      <c r="O28" s="5">
        <v>569</v>
      </c>
      <c r="P28" s="5"/>
      <c r="Q28" s="5"/>
      <c r="R28" s="5">
        <v>380</v>
      </c>
      <c r="S28" s="5"/>
      <c r="T28" s="18" t="s">
        <v>805</v>
      </c>
      <c r="U28" s="18"/>
      <c r="V28" s="18"/>
      <c r="W28" s="18"/>
      <c r="X28" s="18"/>
      <c r="Y28" s="18" t="s">
        <v>806</v>
      </c>
      <c r="Z28" s="18"/>
      <c r="AA28" s="18"/>
      <c r="AB28" s="18"/>
      <c r="AC28" s="18"/>
    </row>
    <row r="29" spans="1:29" x14ac:dyDescent="0.35">
      <c r="A29" s="18" t="s">
        <v>807</v>
      </c>
      <c r="B29" s="18" t="s">
        <v>808</v>
      </c>
      <c r="C29" s="5">
        <v>88</v>
      </c>
      <c r="D29" s="5"/>
      <c r="E29" s="5">
        <v>215</v>
      </c>
      <c r="F29" s="5">
        <v>167</v>
      </c>
      <c r="G29" s="5"/>
      <c r="H29" s="5">
        <v>122</v>
      </c>
      <c r="I29" s="5"/>
      <c r="J29" s="5">
        <v>448</v>
      </c>
      <c r="K29" s="5">
        <v>322</v>
      </c>
      <c r="L29" s="5">
        <v>332</v>
      </c>
      <c r="M29" s="5">
        <v>427</v>
      </c>
      <c r="N29" s="5"/>
      <c r="O29" s="5">
        <v>137</v>
      </c>
      <c r="P29" s="5"/>
      <c r="Q29" s="5"/>
      <c r="R29" s="5"/>
      <c r="S29" s="5"/>
      <c r="T29" s="18" t="s">
        <v>809</v>
      </c>
      <c r="U29" s="18"/>
      <c r="V29" s="18"/>
      <c r="W29" s="18"/>
      <c r="X29" s="18"/>
      <c r="Y29" s="18"/>
      <c r="Z29" s="18"/>
      <c r="AA29" s="18"/>
      <c r="AB29" s="18"/>
      <c r="AC29" s="18"/>
    </row>
    <row r="30" spans="1:29" x14ac:dyDescent="0.35">
      <c r="A30" s="18" t="s">
        <v>810</v>
      </c>
      <c r="B30" s="18" t="s">
        <v>811</v>
      </c>
      <c r="C30" s="5">
        <v>75</v>
      </c>
      <c r="D30" s="5"/>
      <c r="E30" s="5">
        <v>198</v>
      </c>
      <c r="F30" s="5">
        <v>143</v>
      </c>
      <c r="G30" s="5"/>
      <c r="H30" s="5">
        <v>119</v>
      </c>
      <c r="I30" s="5"/>
      <c r="J30" s="5">
        <v>439</v>
      </c>
      <c r="K30" s="5">
        <v>300</v>
      </c>
      <c r="L30" s="5">
        <v>292</v>
      </c>
      <c r="M30" s="5">
        <v>432</v>
      </c>
      <c r="N30" s="5"/>
      <c r="O30" s="5">
        <v>117</v>
      </c>
      <c r="P30" s="5"/>
      <c r="Q30" s="5"/>
      <c r="R30" s="5">
        <v>123</v>
      </c>
      <c r="S30" s="5"/>
      <c r="T30" s="18" t="s">
        <v>812</v>
      </c>
      <c r="U30" s="18"/>
      <c r="V30" s="18"/>
      <c r="W30" s="18"/>
      <c r="X30" s="18"/>
      <c r="Y30" s="18" t="s">
        <v>813</v>
      </c>
      <c r="Z30" s="18" t="s">
        <v>814</v>
      </c>
      <c r="AA30" s="18" t="s">
        <v>815</v>
      </c>
      <c r="AB30" s="18"/>
      <c r="AC30" s="18"/>
    </row>
    <row r="31" spans="1:29" x14ac:dyDescent="0.35">
      <c r="A31" s="18" t="s">
        <v>816</v>
      </c>
      <c r="B31" s="18" t="s">
        <v>817</v>
      </c>
      <c r="C31" s="5">
        <v>281</v>
      </c>
      <c r="D31" s="5"/>
      <c r="E31" s="5">
        <v>346</v>
      </c>
      <c r="F31" s="5">
        <v>395</v>
      </c>
      <c r="G31" s="5"/>
      <c r="H31" s="5">
        <v>371</v>
      </c>
      <c r="I31" s="5"/>
      <c r="J31" s="5">
        <v>696</v>
      </c>
      <c r="K31" s="5">
        <v>457</v>
      </c>
      <c r="L31" s="5">
        <v>470</v>
      </c>
      <c r="M31" s="5">
        <v>740</v>
      </c>
      <c r="N31" s="5"/>
      <c r="O31" s="5">
        <v>459</v>
      </c>
      <c r="P31" s="5"/>
      <c r="Q31" s="5"/>
      <c r="R31" s="5">
        <v>504</v>
      </c>
      <c r="S31" s="5"/>
      <c r="T31" s="18" t="s">
        <v>818</v>
      </c>
      <c r="U31" s="18"/>
      <c r="V31" s="18"/>
      <c r="W31" s="18"/>
      <c r="X31" s="18"/>
      <c r="Y31" s="18" t="s">
        <v>819</v>
      </c>
      <c r="Z31" s="18"/>
      <c r="AA31" s="18"/>
      <c r="AB31" s="18"/>
      <c r="AC31" s="18"/>
    </row>
    <row r="32" spans="1:29" x14ac:dyDescent="0.35">
      <c r="A32" s="18" t="s">
        <v>820</v>
      </c>
      <c r="B32" s="18" t="s">
        <v>821</v>
      </c>
      <c r="C32" s="5">
        <v>140</v>
      </c>
      <c r="D32" s="5"/>
      <c r="E32" s="5">
        <v>247</v>
      </c>
      <c r="F32" s="5">
        <v>235</v>
      </c>
      <c r="G32" s="5"/>
      <c r="H32" s="5">
        <v>160</v>
      </c>
      <c r="I32" s="5"/>
      <c r="J32" s="5">
        <v>913</v>
      </c>
      <c r="K32" s="5">
        <v>374</v>
      </c>
      <c r="L32" s="5">
        <v>27</v>
      </c>
      <c r="M32" s="5">
        <v>590</v>
      </c>
      <c r="N32" s="5"/>
      <c r="O32" s="5">
        <v>184</v>
      </c>
      <c r="P32" s="5"/>
      <c r="Q32" s="5"/>
      <c r="R32" s="5">
        <v>459</v>
      </c>
      <c r="S32" s="5"/>
      <c r="T32" s="18" t="s">
        <v>822</v>
      </c>
      <c r="U32" s="18"/>
      <c r="V32" s="18"/>
      <c r="W32" s="18"/>
      <c r="X32" s="18"/>
      <c r="Y32" s="18"/>
      <c r="Z32" s="18"/>
      <c r="AA32" s="18"/>
      <c r="AB32" s="18"/>
      <c r="AC32" s="18"/>
    </row>
    <row r="33" spans="1:29" x14ac:dyDescent="0.35">
      <c r="A33" s="18" t="s">
        <v>823</v>
      </c>
      <c r="B33" s="18" t="s">
        <v>824</v>
      </c>
      <c r="C33" s="5">
        <v>44</v>
      </c>
      <c r="D33" s="5"/>
      <c r="E33" s="5">
        <v>136</v>
      </c>
      <c r="F33" s="5">
        <v>58</v>
      </c>
      <c r="G33" s="5"/>
      <c r="H33" s="5">
        <v>19</v>
      </c>
      <c r="I33" s="5"/>
      <c r="J33" s="5">
        <v>334</v>
      </c>
      <c r="K33" s="5">
        <v>157</v>
      </c>
      <c r="L33" s="5">
        <v>94</v>
      </c>
      <c r="M33" s="5">
        <v>324</v>
      </c>
      <c r="N33" s="5"/>
      <c r="O33" s="5" t="s">
        <v>825</v>
      </c>
      <c r="P33" s="5">
        <v>704</v>
      </c>
      <c r="Q33" s="5">
        <v>155</v>
      </c>
      <c r="R33" s="5">
        <v>23</v>
      </c>
      <c r="S33" s="5"/>
      <c r="T33" s="18" t="s">
        <v>826</v>
      </c>
      <c r="U33" s="18"/>
      <c r="V33" s="18"/>
      <c r="W33" s="18"/>
      <c r="X33" s="18"/>
      <c r="Y33" s="18" t="s">
        <v>827</v>
      </c>
      <c r="Z33" s="18" t="s">
        <v>828</v>
      </c>
      <c r="AA33" s="18"/>
      <c r="AB33" s="18"/>
      <c r="AC33" s="18"/>
    </row>
    <row r="34" spans="1:29" x14ac:dyDescent="0.35">
      <c r="A34" s="18" t="s">
        <v>830</v>
      </c>
      <c r="B34" s="18" t="s">
        <v>831</v>
      </c>
      <c r="C34" s="5" t="s">
        <v>832</v>
      </c>
      <c r="D34" s="5"/>
      <c r="E34" s="5" t="s">
        <v>833</v>
      </c>
      <c r="F34" s="5" t="s">
        <v>834</v>
      </c>
      <c r="G34" s="5"/>
      <c r="H34" s="5">
        <v>73</v>
      </c>
      <c r="I34" s="5"/>
      <c r="J34" s="5">
        <v>395</v>
      </c>
      <c r="K34" s="5">
        <v>220</v>
      </c>
      <c r="L34" s="5">
        <v>167</v>
      </c>
      <c r="M34" s="5">
        <v>370</v>
      </c>
      <c r="N34" s="5"/>
      <c r="O34" s="5">
        <v>79</v>
      </c>
      <c r="P34" s="5"/>
      <c r="Q34" s="5">
        <v>181</v>
      </c>
      <c r="R34" s="5">
        <v>76</v>
      </c>
      <c r="S34" s="5"/>
      <c r="T34" s="18" t="s">
        <v>835</v>
      </c>
      <c r="U34" s="18"/>
      <c r="V34" s="18"/>
      <c r="W34" s="18"/>
      <c r="X34" s="18"/>
      <c r="Y34" s="18" t="s">
        <v>836</v>
      </c>
      <c r="Z34" s="18" t="s">
        <v>837</v>
      </c>
      <c r="AA34" s="18" t="s">
        <v>838</v>
      </c>
      <c r="AB34" s="18"/>
      <c r="AC34" s="18"/>
    </row>
    <row r="35" spans="1:29" x14ac:dyDescent="0.35">
      <c r="A35" s="18" t="s">
        <v>839</v>
      </c>
      <c r="B35" s="18" t="s">
        <v>840</v>
      </c>
      <c r="C35" s="5">
        <v>84</v>
      </c>
      <c r="D35" s="5"/>
      <c r="E35" s="5">
        <v>201</v>
      </c>
      <c r="F35" s="5">
        <v>172</v>
      </c>
      <c r="G35" s="5"/>
      <c r="H35" s="5">
        <v>113</v>
      </c>
      <c r="I35" s="5"/>
      <c r="J35" s="5" t="s">
        <v>841</v>
      </c>
      <c r="K35" s="5">
        <v>315</v>
      </c>
      <c r="L35" s="5" t="s">
        <v>842</v>
      </c>
      <c r="M35" s="5" t="s">
        <v>843</v>
      </c>
      <c r="N35" s="5"/>
      <c r="O35" s="5">
        <v>105</v>
      </c>
      <c r="P35" s="5"/>
      <c r="Q35" s="5">
        <v>209</v>
      </c>
      <c r="R35" s="5">
        <v>117</v>
      </c>
      <c r="S35" s="5"/>
      <c r="T35" s="18" t="s">
        <v>844</v>
      </c>
      <c r="U35" s="18"/>
      <c r="V35" s="18"/>
      <c r="W35" s="18"/>
      <c r="X35" s="18"/>
      <c r="Y35" s="18" t="s">
        <v>845</v>
      </c>
      <c r="Z35" s="18"/>
      <c r="AA35" s="18"/>
      <c r="AB35" s="18"/>
      <c r="AC35" s="18"/>
    </row>
    <row r="36" spans="1:29" x14ac:dyDescent="0.35">
      <c r="A36" s="18" t="s">
        <v>846</v>
      </c>
      <c r="B36" s="18" t="s">
        <v>847</v>
      </c>
      <c r="C36" s="5">
        <v>349</v>
      </c>
      <c r="D36" s="5"/>
      <c r="E36" s="5">
        <v>62</v>
      </c>
      <c r="F36" s="5" t="s">
        <v>848</v>
      </c>
      <c r="G36" s="5"/>
      <c r="H36" s="5">
        <v>448</v>
      </c>
      <c r="I36" s="5"/>
      <c r="J36" s="5">
        <v>811</v>
      </c>
      <c r="K36" s="5" t="s">
        <v>849</v>
      </c>
      <c r="L36" s="5">
        <v>443</v>
      </c>
      <c r="M36" s="5" t="s">
        <v>850</v>
      </c>
      <c r="N36" s="5"/>
      <c r="O36" s="5" t="s">
        <v>851</v>
      </c>
      <c r="P36" s="5"/>
      <c r="Q36" s="5"/>
      <c r="R36" s="5">
        <v>560</v>
      </c>
      <c r="S36" s="5"/>
      <c r="T36" s="18" t="s">
        <v>852</v>
      </c>
      <c r="U36" s="18"/>
      <c r="V36" s="18"/>
      <c r="W36" s="18"/>
      <c r="X36" s="18"/>
      <c r="Y36" s="18" t="s">
        <v>853</v>
      </c>
      <c r="Z36" s="18" t="s">
        <v>854</v>
      </c>
      <c r="AA36" s="18"/>
      <c r="AB36" s="18"/>
      <c r="AC36" s="18"/>
    </row>
    <row r="37" spans="1:29" x14ac:dyDescent="0.35">
      <c r="A37" s="18" t="s">
        <v>569</v>
      </c>
      <c r="B37" s="18" t="s">
        <v>855</v>
      </c>
      <c r="C37" s="5">
        <v>249</v>
      </c>
      <c r="D37" s="5"/>
      <c r="E37" s="5">
        <v>83</v>
      </c>
      <c r="F37" s="5">
        <v>366</v>
      </c>
      <c r="G37" s="5"/>
      <c r="H37" s="5">
        <v>277</v>
      </c>
      <c r="I37" s="5"/>
      <c r="J37" s="5">
        <v>536</v>
      </c>
      <c r="K37" s="5">
        <v>227</v>
      </c>
      <c r="L37" s="5">
        <v>182</v>
      </c>
      <c r="M37" s="5">
        <v>645</v>
      </c>
      <c r="N37" s="5"/>
      <c r="O37" s="5">
        <v>290</v>
      </c>
      <c r="P37" s="5"/>
      <c r="Q37" s="5"/>
      <c r="R37" s="5"/>
      <c r="S37" s="5"/>
      <c r="T37" s="18" t="s">
        <v>856</v>
      </c>
      <c r="U37" s="18"/>
      <c r="V37" s="18"/>
      <c r="W37" s="18"/>
      <c r="X37" s="18"/>
      <c r="Y37" s="18" t="s">
        <v>857</v>
      </c>
      <c r="Z37" s="18" t="s">
        <v>858</v>
      </c>
      <c r="AA37" s="18"/>
      <c r="AB37" s="18"/>
      <c r="AC37" s="18"/>
    </row>
    <row r="38" spans="1:29" x14ac:dyDescent="0.35">
      <c r="A38" s="18" t="s">
        <v>859</v>
      </c>
      <c r="B38" s="18" t="s">
        <v>860</v>
      </c>
      <c r="C38" s="5">
        <v>341</v>
      </c>
      <c r="D38" s="5"/>
      <c r="E38" s="5">
        <v>63</v>
      </c>
      <c r="F38" s="5">
        <v>39</v>
      </c>
      <c r="G38" s="5"/>
      <c r="H38" s="5">
        <v>444</v>
      </c>
      <c r="I38" s="5"/>
      <c r="J38" s="5">
        <v>790</v>
      </c>
      <c r="K38" s="5">
        <v>5</v>
      </c>
      <c r="L38" s="5">
        <v>65</v>
      </c>
      <c r="M38" s="5">
        <v>624</v>
      </c>
      <c r="N38" s="5"/>
      <c r="O38" s="5">
        <v>234</v>
      </c>
      <c r="P38" s="5">
        <v>748</v>
      </c>
      <c r="Q38" s="5"/>
      <c r="R38" s="5">
        <v>543</v>
      </c>
      <c r="S38" s="5"/>
      <c r="T38" s="18" t="s">
        <v>861</v>
      </c>
      <c r="U38" s="18"/>
      <c r="V38" s="18"/>
      <c r="W38" s="18"/>
      <c r="X38" s="18"/>
      <c r="Y38" s="18"/>
      <c r="Z38" s="18"/>
      <c r="AA38" s="18"/>
      <c r="AB38" s="18"/>
      <c r="AC38" s="18"/>
    </row>
    <row r="39" spans="1:29" x14ac:dyDescent="0.35">
      <c r="A39" s="18" t="s">
        <v>862</v>
      </c>
      <c r="B39" s="18" t="s">
        <v>863</v>
      </c>
      <c r="C39" s="5">
        <v>350</v>
      </c>
      <c r="D39" s="5"/>
      <c r="E39" s="5">
        <v>60</v>
      </c>
      <c r="F39" s="5">
        <v>19</v>
      </c>
      <c r="G39" s="5"/>
      <c r="H39" s="5">
        <v>452</v>
      </c>
      <c r="I39" s="5"/>
      <c r="J39" s="5">
        <v>819</v>
      </c>
      <c r="K39" s="5">
        <v>3</v>
      </c>
      <c r="L39" s="5">
        <v>435</v>
      </c>
      <c r="M39" s="5">
        <v>603</v>
      </c>
      <c r="N39" s="5"/>
      <c r="O39" s="5">
        <v>236</v>
      </c>
      <c r="P39" s="5"/>
      <c r="Q39" s="5"/>
      <c r="R39" s="5">
        <v>542</v>
      </c>
      <c r="S39" s="5"/>
      <c r="T39" s="18" t="s">
        <v>864</v>
      </c>
      <c r="U39" s="18"/>
      <c r="V39" s="18"/>
      <c r="W39" s="18"/>
      <c r="X39" s="18"/>
      <c r="Y39" s="18" t="s">
        <v>865</v>
      </c>
      <c r="Z39" s="18" t="s">
        <v>866</v>
      </c>
      <c r="AA39" s="18" t="s">
        <v>867</v>
      </c>
      <c r="AB39" s="18"/>
      <c r="AC39" s="18"/>
    </row>
    <row r="40" spans="1:29" x14ac:dyDescent="0.35">
      <c r="A40" s="18" t="s">
        <v>868</v>
      </c>
      <c r="B40" s="18" t="s">
        <v>869</v>
      </c>
      <c r="C40" s="5">
        <v>210</v>
      </c>
      <c r="D40" s="5"/>
      <c r="E40" s="5">
        <v>432</v>
      </c>
      <c r="F40" s="5">
        <v>305</v>
      </c>
      <c r="G40" s="5"/>
      <c r="H40" s="5">
        <v>239</v>
      </c>
      <c r="I40" s="5"/>
      <c r="J40" s="5">
        <v>636</v>
      </c>
      <c r="K40" s="5">
        <v>149</v>
      </c>
      <c r="L40" s="5">
        <v>328</v>
      </c>
      <c r="M40" s="5">
        <v>663</v>
      </c>
      <c r="N40" s="5"/>
      <c r="O40" s="5">
        <v>311</v>
      </c>
      <c r="P40" s="5"/>
      <c r="Q40" s="5">
        <v>206</v>
      </c>
      <c r="R40" s="5">
        <v>224</v>
      </c>
      <c r="S40" s="5"/>
      <c r="T40" s="18" t="s">
        <v>870</v>
      </c>
      <c r="U40" s="18"/>
      <c r="V40" s="18"/>
      <c r="W40" s="18"/>
      <c r="X40" s="18"/>
      <c r="Y40" s="18" t="s">
        <v>871</v>
      </c>
      <c r="Z40" s="18" t="s">
        <v>872</v>
      </c>
      <c r="AA40" s="18"/>
      <c r="AB40" s="18"/>
      <c r="AC40" s="18"/>
    </row>
    <row r="41" spans="1:29" x14ac:dyDescent="0.35">
      <c r="A41" s="18" t="s">
        <v>873</v>
      </c>
      <c r="B41" s="18" t="s">
        <v>874</v>
      </c>
      <c r="C41" s="5">
        <v>89</v>
      </c>
      <c r="D41" s="5"/>
      <c r="E41" s="5">
        <v>205</v>
      </c>
      <c r="F41" s="5">
        <v>171</v>
      </c>
      <c r="G41" s="5"/>
      <c r="H41" s="5" t="s">
        <v>875</v>
      </c>
      <c r="I41" s="5"/>
      <c r="J41" s="5">
        <v>453</v>
      </c>
      <c r="K41" s="5">
        <v>317</v>
      </c>
      <c r="L41" s="5">
        <v>304</v>
      </c>
      <c r="M41" s="5">
        <v>434</v>
      </c>
      <c r="N41" s="5"/>
      <c r="O41" s="5">
        <v>113</v>
      </c>
      <c r="P41" s="5"/>
      <c r="Q41" s="5">
        <v>210</v>
      </c>
      <c r="R41" s="5"/>
      <c r="S41" s="5"/>
      <c r="T41" s="18" t="s">
        <v>876</v>
      </c>
      <c r="U41" s="18"/>
      <c r="V41" s="18"/>
      <c r="W41" s="18"/>
      <c r="X41" s="18"/>
      <c r="Y41" s="18" t="s">
        <v>877</v>
      </c>
      <c r="Z41" s="18" t="s">
        <v>878</v>
      </c>
      <c r="AA41" s="18"/>
      <c r="AB41" s="18"/>
      <c r="AC41" s="18"/>
    </row>
    <row r="42" spans="1:29" x14ac:dyDescent="0.35">
      <c r="A42" s="18" t="s">
        <v>879</v>
      </c>
      <c r="B42" s="18" t="s">
        <v>880</v>
      </c>
      <c r="C42" s="5" t="s">
        <v>881</v>
      </c>
      <c r="D42" s="5"/>
      <c r="E42" s="5">
        <v>549</v>
      </c>
      <c r="F42" s="5">
        <v>609</v>
      </c>
      <c r="G42" s="5"/>
      <c r="H42" s="5">
        <v>177</v>
      </c>
      <c r="I42" s="5"/>
      <c r="J42" s="5">
        <v>516</v>
      </c>
      <c r="K42" s="5">
        <v>508</v>
      </c>
      <c r="L42" s="5">
        <v>544</v>
      </c>
      <c r="M42" s="5">
        <v>486</v>
      </c>
      <c r="N42" s="5"/>
      <c r="O42" s="5">
        <v>206</v>
      </c>
      <c r="P42" s="5"/>
      <c r="Q42" s="5">
        <v>263</v>
      </c>
      <c r="R42" s="5">
        <v>31</v>
      </c>
      <c r="S42" s="5"/>
      <c r="T42" s="18" t="s">
        <v>882</v>
      </c>
      <c r="U42" s="18"/>
      <c r="V42" s="18"/>
      <c r="W42" s="18"/>
      <c r="X42" s="18"/>
      <c r="Y42" s="18"/>
      <c r="Z42" s="18"/>
      <c r="AA42" s="18"/>
      <c r="AB42" s="18"/>
      <c r="AC42" s="18"/>
    </row>
    <row r="43" spans="1:29" x14ac:dyDescent="0.35">
      <c r="A43" s="18" t="s">
        <v>883</v>
      </c>
      <c r="B43" s="18" t="s">
        <v>884</v>
      </c>
      <c r="C43" s="5">
        <v>184</v>
      </c>
      <c r="D43" s="5"/>
      <c r="E43" s="5">
        <v>393</v>
      </c>
      <c r="F43" s="5">
        <v>252</v>
      </c>
      <c r="G43" s="5"/>
      <c r="H43" s="5">
        <v>212</v>
      </c>
      <c r="I43" s="5"/>
      <c r="J43" s="5">
        <v>953</v>
      </c>
      <c r="K43" s="5">
        <v>76</v>
      </c>
      <c r="L43" s="5">
        <v>37</v>
      </c>
      <c r="M43" s="5">
        <v>941</v>
      </c>
      <c r="N43" s="5"/>
      <c r="O43" s="5">
        <v>271</v>
      </c>
      <c r="P43" s="5"/>
      <c r="Q43" s="5"/>
      <c r="R43" s="5"/>
      <c r="S43" s="5"/>
      <c r="T43" s="18" t="s">
        <v>885</v>
      </c>
      <c r="U43" s="18"/>
      <c r="V43" s="18"/>
      <c r="W43" s="18"/>
      <c r="X43" s="18"/>
      <c r="Y43" s="18" t="s">
        <v>886</v>
      </c>
      <c r="Z43" s="18"/>
      <c r="AA43" s="18"/>
      <c r="AB43" s="18"/>
      <c r="AC43" s="18"/>
    </row>
    <row r="44" spans="1:29" x14ac:dyDescent="0.35">
      <c r="A44" s="18" t="s">
        <v>887</v>
      </c>
      <c r="B44" s="18" t="s">
        <v>888</v>
      </c>
      <c r="C44" s="5">
        <v>376</v>
      </c>
      <c r="D44" s="5"/>
      <c r="E44" s="5">
        <v>507</v>
      </c>
      <c r="F44" s="5">
        <v>521</v>
      </c>
      <c r="G44" s="5"/>
      <c r="H44" s="5">
        <v>422</v>
      </c>
      <c r="I44" s="5"/>
      <c r="J44" s="5">
        <v>760</v>
      </c>
      <c r="K44" s="5">
        <v>370</v>
      </c>
      <c r="L44" s="5">
        <v>519</v>
      </c>
      <c r="M44" s="5" t="s">
        <v>889</v>
      </c>
      <c r="N44" s="5"/>
      <c r="O44" s="5">
        <v>429</v>
      </c>
      <c r="P44" s="5"/>
      <c r="Q44" s="5">
        <v>287</v>
      </c>
      <c r="R44" s="5">
        <v>446</v>
      </c>
      <c r="S44" s="5"/>
      <c r="T44" s="18" t="s">
        <v>890</v>
      </c>
      <c r="U44" s="18"/>
      <c r="V44" s="18"/>
      <c r="W44" s="18"/>
      <c r="X44" s="18"/>
      <c r="Y44" s="18" t="s">
        <v>891</v>
      </c>
      <c r="Z44" s="18" t="s">
        <v>892</v>
      </c>
      <c r="AA44" s="18"/>
      <c r="AB44" s="18"/>
      <c r="AC44" s="18"/>
    </row>
    <row r="45" spans="1:29" x14ac:dyDescent="0.35">
      <c r="A45" s="18" t="s">
        <v>893</v>
      </c>
      <c r="B45" s="18" t="s">
        <v>894</v>
      </c>
      <c r="C45" s="5">
        <v>387</v>
      </c>
      <c r="D45" s="5"/>
      <c r="E45" s="5">
        <v>515</v>
      </c>
      <c r="F45" s="5">
        <v>522</v>
      </c>
      <c r="G45" s="5"/>
      <c r="H45" s="5">
        <v>428</v>
      </c>
      <c r="I45" s="5"/>
      <c r="J45" s="5">
        <v>615</v>
      </c>
      <c r="K45" s="5">
        <v>524</v>
      </c>
      <c r="L45" s="5">
        <v>257</v>
      </c>
      <c r="M45" s="5">
        <v>723</v>
      </c>
      <c r="N45" s="5"/>
      <c r="O45" s="5">
        <v>413</v>
      </c>
      <c r="P45" s="5"/>
      <c r="Q45" s="5"/>
      <c r="R45" s="5">
        <v>303</v>
      </c>
      <c r="S45" s="5"/>
      <c r="T45" s="18" t="s">
        <v>895</v>
      </c>
      <c r="U45" s="18"/>
      <c r="V45" s="18"/>
      <c r="W45" s="18"/>
      <c r="X45" s="18"/>
      <c r="Y45" s="18" t="s">
        <v>896</v>
      </c>
      <c r="Z45" s="18"/>
      <c r="AA45" s="18"/>
      <c r="AB45" s="18"/>
      <c r="AC45" s="18"/>
    </row>
    <row r="46" spans="1:29" x14ac:dyDescent="0.35">
      <c r="A46" s="18" t="s">
        <v>897</v>
      </c>
      <c r="B46" s="18" t="s">
        <v>898</v>
      </c>
      <c r="C46" s="5">
        <v>375</v>
      </c>
      <c r="D46" s="5"/>
      <c r="E46" s="5">
        <v>501</v>
      </c>
      <c r="F46" s="5">
        <v>523</v>
      </c>
      <c r="G46" s="5"/>
      <c r="H46" s="5">
        <v>423</v>
      </c>
      <c r="I46" s="5"/>
      <c r="J46" s="5">
        <v>756</v>
      </c>
      <c r="K46" s="5">
        <v>342</v>
      </c>
      <c r="L46" s="5">
        <v>377</v>
      </c>
      <c r="M46" s="5">
        <v>831</v>
      </c>
      <c r="N46" s="5"/>
      <c r="O46" s="5">
        <v>428</v>
      </c>
      <c r="P46" s="5"/>
      <c r="Q46" s="5">
        <v>289</v>
      </c>
      <c r="R46" s="5"/>
      <c r="S46" s="5"/>
      <c r="T46" s="18" t="s">
        <v>899</v>
      </c>
      <c r="U46" s="18"/>
      <c r="V46" s="18"/>
      <c r="W46" s="18"/>
      <c r="X46" s="18"/>
      <c r="Y46" s="18" t="s">
        <v>900</v>
      </c>
      <c r="Z46" s="18" t="s">
        <v>901</v>
      </c>
      <c r="AA46" s="18" t="s">
        <v>902</v>
      </c>
      <c r="AB46" s="18"/>
      <c r="AC46" s="18"/>
    </row>
  </sheetData>
  <autoFilter ref="A1:AC46"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vt:lpstr>
      <vt:lpstr>Master Notes</vt:lpstr>
      <vt:lpstr>Occasional Hymns Original</vt:lpstr>
      <vt:lpstr>Occasional Hymns Refined</vt:lpstr>
      <vt:lpstr>Notes</vt:lpstr>
      <vt:lpstr>Chief Hymns</vt:lpstr>
      <vt:lpstr>Chief Hymns Notes</vt:lpstr>
      <vt:lpstr>Latin hymns</vt:lpstr>
      <vt:lpstr>Popular Hymns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Seth Kasten</cp:lastModifiedBy>
  <dcterms:created xsi:type="dcterms:W3CDTF">2026-10-15T19:14:10Z</dcterms:created>
  <dcterms:modified xsi:type="dcterms:W3CDTF">2026-10-22T14:53:45Z</dcterms:modified>
</cp:coreProperties>
</file>